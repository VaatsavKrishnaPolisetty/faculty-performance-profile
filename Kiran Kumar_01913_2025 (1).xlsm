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51196F13-6AD0-C1B8-E2B4-A1F9AE17003E}"/>
  <workbookPr codeName="ThisWorkbook"/>
  <mc:AlternateContent xmlns:mc="http://schemas.openxmlformats.org/markup-compatibility/2006">
    <mc:Choice Requires="x15">
      <x15ac:absPath xmlns:x15ac="http://schemas.microsoft.com/office/spreadsheetml/2010/11/ac" url="E:\Ph.D\2025 Targets\Apprisal 2025\"/>
    </mc:Choice>
  </mc:AlternateContent>
  <xr:revisionPtr revIDLastSave="0" documentId="13_ncr:1_{F21AC2F4-AA3B-454E-8A00-76536FCB57E4}" xr6:coauthVersionLast="47" xr6:coauthVersionMax="47" xr10:uidLastSave="{00000000-0000-0000-0000-000000000000}"/>
  <bookViews>
    <workbookView xWindow="-120" yWindow="-120" windowWidth="20730" windowHeight="11160" xr2:uid="{00000000-000D-0000-FFFF-FFFF00000000}"/>
  </bookViews>
  <sheets>
    <sheet name="Basic_Information" sheetId="1" r:id="rId1"/>
    <sheet name="PART -A (TL)" sheetId="2" r:id="rId2"/>
    <sheet name="PART -B (Research)" sheetId="4" r:id="rId3"/>
    <sheet name="PART-C(Governance)" sheetId="6" r:id="rId4"/>
    <sheet name="Sheet2" sheetId="9" state="hidden" r:id="rId5"/>
  </sheets>
  <definedNames>
    <definedName name="DP">Sheet2!#REF!</definedName>
    <definedName name="DV_LIST">IFERROR(IF(VALUE('PART-C(Governance)'!$C$4)&lt;1,'PART-C(Governance)'!$XFD$2:$XFD$12,OFFSET('PART-C(Governance)'!$P$3,0,0,1+MIN(INT(VALUE('PART-C(Governance)'!$C$4)),15),1)),'PART-C(Governance)'!$XFD$2:$XFD$12)</definedName>
    <definedName name="DV_List_2">IF(N('PART-C(Governance)'!$C$21)&lt;1,'PART-C(Governance)'!$XFA$2:$XFA$16,INDEX('PART-C(Governance)'!$XFA$2:$XFA$16,1):INDEX('PART-C(Governance)'!$XFA$2:$XFA$16,MIN(INT(N('PART-C(Governance)'!$C$21)),15)))</definedName>
    <definedName name="eight">Sheet2!#REF!</definedName>
    <definedName name="five">Sheet2!#REF!</definedName>
    <definedName name="four">Sheet2!#REF!</definedName>
    <definedName name="one">Sheet2!#REF!</definedName>
    <definedName name="_xlnm.Print_Area" localSheetId="0">Basic_Information!$A$1:$F$47</definedName>
    <definedName name="_xlnm.Print_Area" localSheetId="1">'PART -A (TL)'!$A$1:$H$36</definedName>
    <definedName name="_xlnm.Print_Area" localSheetId="2">'PART -B (Research)'!$A$1:$I$47</definedName>
    <definedName name="_xlnm.Print_Area" localSheetId="3">'PART-C(Governance)'!$A$1:$H$23</definedName>
    <definedName name="_xlnm.Print_Titles" localSheetId="0">Basic_Information!$1:$2</definedName>
    <definedName name="_xlnm.Print_Titles" localSheetId="1">'PART -A (TL)'!$1:$2</definedName>
    <definedName name="_xlnm.Print_Titles" localSheetId="2">'PART -B (Research)'!$1:$2</definedName>
    <definedName name="_xlnm.Print_Titles" localSheetId="3">'PART-C(Governance)'!$2:$2</definedName>
    <definedName name="SAFT">Sheet2!#REF!</definedName>
    <definedName name="SASH">Sheet2!#REF!</definedName>
    <definedName name="SBPS">Sheet2!#REF!</definedName>
    <definedName name="SCE">Sheet2!#REF!</definedName>
    <definedName name="SCI">Sheet2!#REF!</definedName>
    <definedName name="SEECE">Sheet2!#REF!</definedName>
    <definedName name="seven">Sheet2!#REF!</definedName>
    <definedName name="six">Sheet2!#REF!</definedName>
    <definedName name="SLM">Sheet2!#REF!</definedName>
    <definedName name="three">Sheet2!#REF!</definedName>
    <definedName name="two">Sheet2!#REF!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2" i="6" l="1"/>
  <c r="H22" i="6" s="1"/>
  <c r="C21" i="6"/>
  <c r="F21" i="6" s="1"/>
  <c r="F20" i="6"/>
  <c r="H20" i="6" s="1"/>
  <c r="H19" i="6"/>
  <c r="F19" i="6"/>
  <c r="F18" i="6"/>
  <c r="H18" i="6" s="1"/>
  <c r="F17" i="6"/>
  <c r="H17" i="6" s="1"/>
  <c r="H16" i="6"/>
  <c r="G16" i="6"/>
  <c r="F16" i="6"/>
  <c r="H15" i="6"/>
  <c r="F15" i="6"/>
  <c r="T14" i="6"/>
  <c r="G14" i="6"/>
  <c r="F14" i="6"/>
  <c r="H14" i="6" s="1"/>
  <c r="F13" i="6"/>
  <c r="H13" i="6" s="1"/>
  <c r="F12" i="6"/>
  <c r="H12" i="6" s="1"/>
  <c r="F11" i="6"/>
  <c r="H11" i="6" s="1"/>
  <c r="F9" i="6"/>
  <c r="H9" i="6" s="1"/>
  <c r="F8" i="6"/>
  <c r="H8" i="6" s="1"/>
  <c r="F7" i="6"/>
  <c r="H7" i="6" s="1"/>
  <c r="F6" i="6"/>
  <c r="H6" i="6" s="1"/>
  <c r="C5" i="6"/>
  <c r="F5" i="6" s="1"/>
  <c r="H5" i="6" s="1"/>
  <c r="B5" i="6"/>
  <c r="C4" i="6"/>
  <c r="F4" i="6" s="1"/>
  <c r="H4" i="6" s="1"/>
  <c r="J3" i="6"/>
  <c r="F3" i="6"/>
  <c r="H3" i="6" s="1"/>
  <c r="J2" i="6"/>
  <c r="I46" i="4"/>
  <c r="H46" i="4"/>
  <c r="G46" i="4"/>
  <c r="H45" i="4"/>
  <c r="G45" i="4"/>
  <c r="I45" i="4" s="1"/>
  <c r="G44" i="4"/>
  <c r="I44" i="4" s="1"/>
  <c r="I43" i="4"/>
  <c r="G43" i="4"/>
  <c r="H43" i="4" s="1"/>
  <c r="I42" i="4"/>
  <c r="H42" i="4"/>
  <c r="G42" i="4"/>
  <c r="G41" i="4"/>
  <c r="I41" i="4" s="1"/>
  <c r="G40" i="4"/>
  <c r="I40" i="4" s="1"/>
  <c r="I39" i="4"/>
  <c r="G39" i="4"/>
  <c r="H39" i="4" s="1"/>
  <c r="I38" i="4"/>
  <c r="H38" i="4"/>
  <c r="G38" i="4"/>
  <c r="G37" i="4"/>
  <c r="I37" i="4" s="1"/>
  <c r="G36" i="4"/>
  <c r="I36" i="4" s="1"/>
  <c r="G35" i="4"/>
  <c r="I35" i="4" s="1"/>
  <c r="G34" i="4"/>
  <c r="I34" i="4" s="1"/>
  <c r="I33" i="4"/>
  <c r="G33" i="4"/>
  <c r="G32" i="4"/>
  <c r="I32" i="4" s="1"/>
  <c r="G31" i="4"/>
  <c r="I31" i="4" s="1"/>
  <c r="I30" i="4"/>
  <c r="H30" i="4"/>
  <c r="G30" i="4"/>
  <c r="G29" i="4"/>
  <c r="I29" i="4" s="1"/>
  <c r="I28" i="4"/>
  <c r="G28" i="4"/>
  <c r="H28" i="4" s="1"/>
  <c r="G27" i="4"/>
  <c r="I27" i="4" s="1"/>
  <c r="G26" i="4"/>
  <c r="I26" i="4" s="1"/>
  <c r="G25" i="4"/>
  <c r="H23" i="4" s="1"/>
  <c r="G24" i="4"/>
  <c r="I24" i="4" s="1"/>
  <c r="I23" i="4"/>
  <c r="G23" i="4"/>
  <c r="G22" i="4"/>
  <c r="I22" i="4" s="1"/>
  <c r="I21" i="4"/>
  <c r="G21" i="4"/>
  <c r="H21" i="4" s="1"/>
  <c r="G20" i="4"/>
  <c r="I20" i="4" s="1"/>
  <c r="G19" i="4"/>
  <c r="I19" i="4" s="1"/>
  <c r="G18" i="4"/>
  <c r="I18" i="4" s="1"/>
  <c r="G17" i="4"/>
  <c r="I17" i="4" s="1"/>
  <c r="I15" i="4"/>
  <c r="G15" i="4"/>
  <c r="G14" i="4"/>
  <c r="I14" i="4" s="1"/>
  <c r="I13" i="4"/>
  <c r="G13" i="4"/>
  <c r="G12" i="4"/>
  <c r="I12" i="4" s="1"/>
  <c r="G11" i="4"/>
  <c r="I11" i="4" s="1"/>
  <c r="I10" i="4"/>
  <c r="G10" i="4"/>
  <c r="G9" i="4"/>
  <c r="H9" i="4" s="1"/>
  <c r="G8" i="4"/>
  <c r="I8" i="4" s="1"/>
  <c r="G7" i="4"/>
  <c r="I7" i="4" s="1"/>
  <c r="G6" i="4"/>
  <c r="I5" i="4"/>
  <c r="G5" i="4"/>
  <c r="G4" i="4"/>
  <c r="I4" i="4" s="1"/>
  <c r="I3" i="4"/>
  <c r="G3" i="4"/>
  <c r="F35" i="2"/>
  <c r="H35" i="2" s="1"/>
  <c r="F34" i="2"/>
  <c r="H34" i="2" s="1"/>
  <c r="F33" i="2"/>
  <c r="H33" i="2" s="1"/>
  <c r="F32" i="2"/>
  <c r="H32" i="2" s="1"/>
  <c r="F31" i="2"/>
  <c r="H31" i="2" s="1"/>
  <c r="F30" i="2"/>
  <c r="H30" i="2" s="1"/>
  <c r="F29" i="2"/>
  <c r="H29" i="2" s="1"/>
  <c r="F28" i="2"/>
  <c r="H28" i="2" s="1"/>
  <c r="F27" i="2"/>
  <c r="H27" i="2" s="1"/>
  <c r="F26" i="2"/>
  <c r="H26" i="2" s="1"/>
  <c r="F25" i="2"/>
  <c r="H25" i="2" s="1"/>
  <c r="F24" i="2"/>
  <c r="H24" i="2" s="1"/>
  <c r="F23" i="2"/>
  <c r="H23" i="2" s="1"/>
  <c r="F22" i="2"/>
  <c r="H22" i="2" s="1"/>
  <c r="F21" i="2"/>
  <c r="H21" i="2" s="1"/>
  <c r="F20" i="2"/>
  <c r="H20" i="2" s="1"/>
  <c r="F19" i="2"/>
  <c r="H19" i="2" s="1"/>
  <c r="H17" i="2"/>
  <c r="F17" i="2"/>
  <c r="F16" i="2"/>
  <c r="H16" i="2" s="1"/>
  <c r="H15" i="2"/>
  <c r="F15" i="2"/>
  <c r="F14" i="2"/>
  <c r="H14" i="2" s="1"/>
  <c r="H13" i="2"/>
  <c r="F13" i="2"/>
  <c r="F12" i="2"/>
  <c r="H12" i="2" s="1"/>
  <c r="H11" i="2"/>
  <c r="F11" i="2"/>
  <c r="F10" i="2"/>
  <c r="H10" i="2" s="1"/>
  <c r="H9" i="2"/>
  <c r="F9" i="2"/>
  <c r="F8" i="2"/>
  <c r="H8" i="2" s="1"/>
  <c r="H7" i="2"/>
  <c r="F7" i="2"/>
  <c r="F6" i="2"/>
  <c r="H6" i="2" s="1"/>
  <c r="H5" i="2"/>
  <c r="F5" i="2"/>
  <c r="F4" i="2"/>
  <c r="H4" i="2" s="1"/>
  <c r="H3" i="2"/>
  <c r="F3" i="2"/>
  <c r="G3" i="2" s="1"/>
  <c r="A46" i="1"/>
  <c r="A47" i="1" s="1"/>
  <c r="F41" i="1"/>
  <c r="H3" i="4" l="1"/>
  <c r="H15" i="4"/>
  <c r="H13" i="4"/>
  <c r="G35" i="2"/>
  <c r="G11" i="6"/>
  <c r="H21" i="6"/>
  <c r="G20" i="6"/>
  <c r="G34" i="2"/>
  <c r="I25" i="4"/>
  <c r="H37" i="4"/>
  <c r="H41" i="4"/>
  <c r="G18" i="6"/>
  <c r="G19" i="2"/>
  <c r="G36" i="2" s="1"/>
  <c r="B13" i="1" s="1"/>
  <c r="I9" i="4"/>
  <c r="H11" i="4"/>
  <c r="H40" i="4"/>
  <c r="H44" i="4"/>
  <c r="H32" i="4"/>
  <c r="H34" i="4"/>
  <c r="I6" i="4"/>
  <c r="G3" i="6"/>
  <c r="H47" i="4" l="1"/>
  <c r="C13" i="1" s="1"/>
  <c r="G23" i="6"/>
  <c r="D13" i="1" s="1"/>
  <c r="E16" i="1" l="1"/>
  <c r="E18" i="1" s="1"/>
  <c r="C19" i="1" s="1"/>
  <c r="E13" i="1"/>
</calcChain>
</file>

<file path=xl/sharedStrings.xml><?xml version="1.0" encoding="utf-8"?>
<sst xmlns="http://schemas.openxmlformats.org/spreadsheetml/2006/main" count="417" uniqueCount="318">
  <si>
    <t>School of Agriculture &amp; Food Technology</t>
  </si>
  <si>
    <t>School of Applied Sciences &amp; Humanities</t>
  </si>
  <si>
    <t>School of Biotechnology &amp; Pharmaceutical Sciences</t>
  </si>
  <si>
    <t>School of Computing and Informatics</t>
  </si>
  <si>
    <t>School of Core Engineering</t>
  </si>
  <si>
    <t>School of Electrical Electronics and Communication Engineering</t>
  </si>
  <si>
    <t>School of Law &amp; Management</t>
  </si>
  <si>
    <t>Directorate of Polytechnic</t>
  </si>
  <si>
    <t xml:space="preserve"> Faculty Appraisal Form-2025</t>
  </si>
  <si>
    <t>Department of  Agriculture Engineering</t>
  </si>
  <si>
    <t>Department of  Chemistry</t>
  </si>
  <si>
    <t>Department of  Bioinformatics</t>
  </si>
  <si>
    <t>Department of  Advanced Computer Sciences &amp; Engineering</t>
  </si>
  <si>
    <t>Department of  Chemical Engineering</t>
  </si>
  <si>
    <t>Department of  Biomedical Engineering</t>
  </si>
  <si>
    <t>Department of  LAW</t>
  </si>
  <si>
    <t>Name of the Faculty</t>
  </si>
  <si>
    <t>Kiran Kumar Kaveti</t>
  </si>
  <si>
    <t>Department of  Agriculture &amp; Horticulture</t>
  </si>
  <si>
    <t>Department of  English and Other Indian &amp; Foreign Languages</t>
  </si>
  <si>
    <t>Department of  Biotechnology</t>
  </si>
  <si>
    <t>Department of  Computer Applications</t>
  </si>
  <si>
    <t>Department of  Civil Engineering</t>
  </si>
  <si>
    <t>Department of  Electrical and Electronics Engineering</t>
  </si>
  <si>
    <t>Department of  Management Studies</t>
  </si>
  <si>
    <t>Qualification</t>
  </si>
  <si>
    <t>PG</t>
  </si>
  <si>
    <t>Department of  Food Technology</t>
  </si>
  <si>
    <t>Department of  Mathematics and Statistics</t>
  </si>
  <si>
    <t>Department of  Pharmaceutical Sciences</t>
  </si>
  <si>
    <t>Department of  Computer Sciences &amp; Engineering</t>
  </si>
  <si>
    <t>Department of  Textile Technology</t>
  </si>
  <si>
    <t>Department of  Electronics and Communication Engineering</t>
  </si>
  <si>
    <t>Date of Join</t>
  </si>
  <si>
    <t>Department of  Physics</t>
  </si>
  <si>
    <t>Department of  Information Technology</t>
  </si>
  <si>
    <t xml:space="preserve">Department of  Mechanical Engineering </t>
  </si>
  <si>
    <t>Emp ID</t>
  </si>
  <si>
    <t>Department of  Social Sciences &amp; Humanities</t>
  </si>
  <si>
    <t>Designation</t>
  </si>
  <si>
    <t>Assistant Professor</t>
  </si>
  <si>
    <t>level</t>
  </si>
  <si>
    <t>Level 10-</t>
  </si>
  <si>
    <t>Name of the School</t>
  </si>
  <si>
    <t>Name of the Department</t>
  </si>
  <si>
    <t>Campus</t>
  </si>
  <si>
    <t>Guntur</t>
  </si>
  <si>
    <t>ENTITY</t>
  </si>
  <si>
    <t>PART A
(Teaching)</t>
  </si>
  <si>
    <t>PART B
(Research)</t>
  </si>
  <si>
    <t>PART C
(Governence)</t>
  </si>
  <si>
    <t>TOTAL</t>
  </si>
  <si>
    <t>SIGNATURE</t>
  </si>
  <si>
    <t>Self score</t>
  </si>
  <si>
    <t>score after review</t>
  </si>
  <si>
    <t>% of Deviation</t>
  </si>
  <si>
    <t>Total Secured Marks in 2025 (for 100%)</t>
  </si>
  <si>
    <t>Total Secured Marks in 2024 (for 100%)</t>
  </si>
  <si>
    <t>Average of 2024 &amp; 2025</t>
  </si>
  <si>
    <t>Grade</t>
  </si>
  <si>
    <t>PART</t>
  </si>
  <si>
    <t>CRITERIA</t>
  </si>
  <si>
    <t>METRICS</t>
  </si>
  <si>
    <t>PARAMETERS</t>
  </si>
  <si>
    <t>POINTS</t>
  </si>
  <si>
    <t>A</t>
  </si>
  <si>
    <t>Teaching–Learning 
(333 Points)</t>
  </si>
  <si>
    <t>Core Course/Elective Course</t>
  </si>
  <si>
    <t xml:space="preserve">UG &amp; PG Project </t>
  </si>
  <si>
    <t>Feedback</t>
  </si>
  <si>
    <t>B</t>
  </si>
  <si>
    <t>Research &amp; Development
(333 Points)</t>
  </si>
  <si>
    <t>Research publications (All inclusive)</t>
  </si>
  <si>
    <t>Entrepreneur</t>
  </si>
  <si>
    <t>Participation in Conference</t>
  </si>
  <si>
    <t>EXTRAMURAL PROJECTS/ CONSULTANCY</t>
  </si>
  <si>
    <t>Internal Funding for Projects</t>
  </si>
  <si>
    <t>PhD SUPERVISORS</t>
  </si>
  <si>
    <t>Faculty Development Programs</t>
  </si>
  <si>
    <t>Workshop/ Conference STTP/MDP/EDP/Webinar/Seminar etc.</t>
  </si>
  <si>
    <t>FIIP</t>
  </si>
  <si>
    <t>Research Related Activities</t>
  </si>
  <si>
    <t>C</t>
  </si>
  <si>
    <t xml:space="preserve">Governance 
(333  Points) 
</t>
  </si>
  <si>
    <t xml:space="preserve">Department Level </t>
  </si>
  <si>
    <t xml:space="preserve">Admin Dean </t>
  </si>
  <si>
    <t xml:space="preserve">School Dean </t>
  </si>
  <si>
    <t>Department Head</t>
  </si>
  <si>
    <t>Central level in-charges</t>
  </si>
  <si>
    <t>Total Marks</t>
  </si>
  <si>
    <t>S.no.</t>
  </si>
  <si>
    <t>Levels</t>
  </si>
  <si>
    <t>Weights for Sub categories</t>
  </si>
  <si>
    <t>Weightage (%)</t>
  </si>
  <si>
    <t xml:space="preserve">Admin Dean/School Dean </t>
  </si>
  <si>
    <t>Teaching-0.3
Research- 0.3
Governance- 0.4</t>
  </si>
  <si>
    <t>Level 13A, level 13B, Level 14</t>
  </si>
  <si>
    <t>Teaching-0.3
Research- 0.6
Governance- 0.1</t>
  </si>
  <si>
    <t>Level 10, level 11, level 12</t>
  </si>
  <si>
    <t>Teaching-0.35
Research- 0.35
Governance- 0.3</t>
  </si>
  <si>
    <t>Teaching-0.6
Research- 0.3
Governance- 0.1</t>
  </si>
  <si>
    <t>Teaching Learning</t>
  </si>
  <si>
    <t>Weightage</t>
  </si>
  <si>
    <t xml:space="preserve">Respone </t>
  </si>
  <si>
    <t>Score</t>
  </si>
  <si>
    <t>Final Calculation</t>
  </si>
  <si>
    <t>Comment</t>
  </si>
  <si>
    <t>1. Curriculum &amp; Teaching-Learning (273)</t>
  </si>
  <si>
    <t>• Core Course (208)</t>
  </si>
  <si>
    <t>a. Maintaining Course File for all Modules taught in the year</t>
  </si>
  <si>
    <t>Yes</t>
  </si>
  <si>
    <t>b. Course Exit Survey for the respective course handled by the faculty</t>
  </si>
  <si>
    <t>c. Teaching Pedagogy (Minimum Four Methods) - (List out the pedagogy)</t>
  </si>
  <si>
    <t>d. % of Attendance for the respective course (&gt;95% students &gt;75% )</t>
  </si>
  <si>
    <t>e. Content Beyond Syllabus by the Expert (Industry/Academia) (Online /Offline)</t>
  </si>
  <si>
    <t>&gt;=1</t>
  </si>
  <si>
    <t>f. Course Content Delivered by Industry Expert (One per Semester) (Online /Offline)</t>
  </si>
  <si>
    <t>g. CO-PO, PSO attainment for the AY: 2024-25 and first sem of 2025-26</t>
  </si>
  <si>
    <t>h. Action Taken Report for the attainment (for the above one)</t>
  </si>
  <si>
    <r>
      <rPr>
        <sz val="12"/>
        <rFont val="Times New Roman"/>
        <family val="1"/>
      </rPr>
      <t>i.</t>
    </r>
    <r>
      <rPr>
        <i/>
        <sz val="12"/>
        <rFont val="Times New Roman"/>
        <family val="1"/>
      </rPr>
      <t xml:space="preserve"> e</t>
    </r>
    <r>
      <rPr>
        <sz val="12"/>
        <rFont val="Times New Roman"/>
        <family val="1"/>
      </rPr>
      <t>-content developed within VFSTR (All Modules of the course content delivered by the faculty in the Second Sem of 2024-25 and First Sem of 2025-26)</t>
    </r>
  </si>
  <si>
    <r>
      <rPr>
        <sz val="12"/>
        <rFont val="Times New Roman"/>
        <family val="1"/>
      </rPr>
      <t xml:space="preserve">j. </t>
    </r>
    <r>
      <rPr>
        <i/>
        <sz val="12"/>
        <rFont val="Times New Roman"/>
        <family val="1"/>
      </rPr>
      <t>e</t>
    </r>
    <r>
      <rPr>
        <sz val="12"/>
        <rFont val="Times New Roman"/>
        <family val="1"/>
      </rPr>
      <t>-content developed outside VFSTR (SWAYAM, NPTEL, UDEMY, Coursera, other agencies etc.,)</t>
    </r>
  </si>
  <si>
    <t>No</t>
  </si>
  <si>
    <t>Learning Outcomes (65)</t>
  </si>
  <si>
    <t>a. Slow Learner Class Conducted for the AY: 2024-25 and first sem of 2025-26</t>
  </si>
  <si>
    <t xml:space="preserve">b. Impact analysis of Slow Learners </t>
  </si>
  <si>
    <t>c. Pass percentage of Formative Assessment for respective course</t>
  </si>
  <si>
    <t>d. Pass percentage of Summative Assessment for respective course</t>
  </si>
  <si>
    <t>e. Over all Pass percentage for respective course</t>
  </si>
  <si>
    <t>OR</t>
  </si>
  <si>
    <r>
      <rPr>
        <b/>
        <sz val="11"/>
        <color theme="1"/>
        <rFont val="Times New Roman"/>
        <family val="1"/>
      </rPr>
      <t>Note:</t>
    </r>
    <r>
      <rPr>
        <sz val="11"/>
        <color theme="1"/>
        <rFont val="Times New Roman"/>
        <family val="1"/>
      </rPr>
      <t xml:space="preserve"> Faculty should select only one Core/Elective course to secure marks in 2.</t>
    </r>
  </si>
  <si>
    <t>• Elective Course (208)</t>
  </si>
  <si>
    <t>2. UG/PG Projects (10)</t>
  </si>
  <si>
    <t>Projects Guided for UG/PG students with Credits (or) CLA forms and Lab Records</t>
  </si>
  <si>
    <t>3. Feedback (50)</t>
  </si>
  <si>
    <t xml:space="preserve">Feedback on Teaching-Learning Process (%) </t>
  </si>
  <si>
    <t>Research</t>
  </si>
  <si>
    <t>1. PUBLICATIONS 
(ALL INCLUSIVE) (163)</t>
  </si>
  <si>
    <t>a. Journal Publications 
100 (SCI/SCOPUS)
+5 (With Industry &amp; International) (105)</t>
  </si>
  <si>
    <t>i. SCI Articles</t>
  </si>
  <si>
    <t>SCI /SCI-E/ ABDC / Social science indexed</t>
  </si>
  <si>
    <t>SCI / SCI-E/ ABDC / Social science indexed (Collaborative with Industry Collaboration)</t>
  </si>
  <si>
    <t>SCI / SCI-E/ ABDC / Social science indexed (Collaborative with International Collaboration)</t>
  </si>
  <si>
    <t>ii. Scopus/ESCI</t>
  </si>
  <si>
    <t>iii. Scopus/ESCI (authors with Industry expert: - Collaboration)</t>
  </si>
  <si>
    <t>iv. Scopus/ESCI (authors with International expert: - Collaboration)</t>
  </si>
  <si>
    <t>b. Conference (13)</t>
  </si>
  <si>
    <t>i. Top Notch Conferences  (Level 1) - With publications / proceedings with ISSN</t>
  </si>
  <si>
    <t>ii. Top Notch Conferences  (Level 2) - With publications / proceedings with ISSN</t>
  </si>
  <si>
    <t>c. Books/ Book Chapter (15)</t>
  </si>
  <si>
    <t>i. Book - A Reputed publishers with ISBN   (Intl Publisher)</t>
  </si>
  <si>
    <t>iii. Book Chapter : Reputed publishers with ISBN</t>
  </si>
  <si>
    <t>d. Patents (30)</t>
  </si>
  <si>
    <t>i. Granted</t>
  </si>
  <si>
    <t>ii. Published</t>
  </si>
  <si>
    <t>Entrepreneur
or
National/Internationa Certifications (15)</t>
  </si>
  <si>
    <t>a. Startups (15)</t>
  </si>
  <si>
    <t>or</t>
  </si>
  <si>
    <t xml:space="preserve">Global Certification </t>
  </si>
  <si>
    <t>National Certification (12 Weeks)</t>
  </si>
  <si>
    <t>National Certification (8 Weeks)</t>
  </si>
  <si>
    <t>National Certification (4 Weeks)</t>
  </si>
  <si>
    <t>Participation in Conference (8)</t>
  </si>
  <si>
    <t>a. Top Notch Conferences Participated (Level 1) - Participation Certificate</t>
  </si>
  <si>
    <t>b. Top Notch Conferences Participated (Level 2) - Participation Certificate</t>
  </si>
  <si>
    <t>EXTRAMURAL PROJECTS/ CONSULTANCY (40)</t>
  </si>
  <si>
    <r>
      <rPr>
        <sz val="11"/>
        <rFont val="Times New Roman"/>
        <family val="1"/>
      </rPr>
      <t>a. Govt Sanctioned Projects (</t>
    </r>
    <r>
      <rPr>
        <sz val="11"/>
        <color rgb="FFFF0000"/>
        <rFont val="Times New Roman"/>
        <family val="1"/>
      </rPr>
      <t>Institution level</t>
    </r>
    <r>
      <rPr>
        <sz val="11"/>
        <rFont val="Times New Roman"/>
        <family val="1"/>
      </rPr>
      <t xml:space="preserve"> projects for Infrastructure institutional development) -    &gt; 50 Lakhs</t>
    </r>
  </si>
  <si>
    <r>
      <rPr>
        <sz val="11"/>
        <rFont val="Times New Roman"/>
        <family val="1"/>
      </rPr>
      <t>b. Govt Sanctioned Projects (</t>
    </r>
    <r>
      <rPr>
        <sz val="11"/>
        <color rgb="FFFF0000"/>
        <rFont val="Times New Roman"/>
        <family val="1"/>
      </rPr>
      <t>Individual</t>
    </r>
    <r>
      <rPr>
        <sz val="11"/>
        <rFont val="Times New Roman"/>
        <family val="1"/>
      </rPr>
      <t xml:space="preserve"> level projects)(Minimum amount must be credited in the year)</t>
    </r>
  </si>
  <si>
    <t>Principal Investigator</t>
  </si>
  <si>
    <t>c. Money Received against Govt Sanctioned  Project</t>
  </si>
  <si>
    <t>d. Industry Sponsored Projects (Non-Govt. Projects)</t>
  </si>
  <si>
    <t>e. Consultancy (Amount should be credited in VFSTR Account)</t>
  </si>
  <si>
    <t>Internal Funding for Projects (10)</t>
  </si>
  <si>
    <t xml:space="preserve">a. Seed Money sanctioned in the Calendar Year (Students seed money should not be claimed here) </t>
  </si>
  <si>
    <t>b. Seed Money Utilization in the Calendar Year (Students seed money should not be claimed here)</t>
  </si>
  <si>
    <t>PhD SUPERVISORS (25)</t>
  </si>
  <si>
    <t>a. Awarded (awarded within 5 years from the date of registration)  - (Administrative guide wont get anything - mentioned in SOP)</t>
  </si>
  <si>
    <t>b. Awarded (awarded &gt; 5 years from the date of registration)</t>
  </si>
  <si>
    <t>Professional Development Programs Attended (12)</t>
  </si>
  <si>
    <r>
      <rPr>
        <sz val="11"/>
        <rFont val="Times New Roman"/>
        <family val="1"/>
      </rPr>
      <t xml:space="preserve">a. Faculty attended FDP/STTP / Workshop / MDP / EDP / Professional Chapter / Conference wich are organized </t>
    </r>
    <r>
      <rPr>
        <sz val="11"/>
        <color rgb="FFFF0000"/>
        <rFont val="Times New Roman"/>
        <family val="1"/>
      </rPr>
      <t>with external funding (ATAL FDP/AICTE Sponsored etc.,)</t>
    </r>
  </si>
  <si>
    <r>
      <rPr>
        <sz val="11"/>
        <rFont val="Times New Roman"/>
        <family val="1"/>
      </rPr>
      <t xml:space="preserve">b. Faculty attended FDP / STTP / Workshop / MDP / EDP / Professional Chapter / Conference wich are organized </t>
    </r>
    <r>
      <rPr>
        <sz val="11"/>
        <color rgb="FFFF0000"/>
        <rFont val="Times New Roman"/>
        <family val="1"/>
      </rPr>
      <t xml:space="preserve">without external funding </t>
    </r>
  </si>
  <si>
    <t>FDP/Workshop/ Conference STTP/MDP/EDP/Webinar/Seminar etc. Organised (30)</t>
  </si>
  <si>
    <t>a. Workshop / Conference STTP/MDP/EDP/Webinar/Seminar/Professional Chapter/FDP  etc., Organised for out side participants</t>
  </si>
  <si>
    <t>Atleast 75% should be External Participants.</t>
  </si>
  <si>
    <t>b. FDP/Workshop / Conference STTP/MDP/EDP/Webinar/Seminar/Professional Chapter  etc., Organised with external fundings  (&gt;=Rs.50000)</t>
  </si>
  <si>
    <t>c. Resource Person for FDP/Conference/Workshop/Seminar/Webinar/STTP/MDP/EDP etc.,</t>
  </si>
  <si>
    <t>i. Within State
ii. Outside state
iii. Outside India</t>
  </si>
  <si>
    <t>FIIP (5)</t>
  </si>
  <si>
    <t xml:space="preserve">Faculty Industry Immersion Program </t>
  </si>
  <si>
    <t>Research Related Activities (25)</t>
  </si>
  <si>
    <t>Other Top Notch Research/Faculty Contributions  (25)</t>
  </si>
  <si>
    <t>i.   Editorial Board Member</t>
  </si>
  <si>
    <t>ii.  Journal Reviewers (Atleast two Different Journals in CAY)</t>
  </si>
  <si>
    <t>iii.  Faculty Awards-International</t>
  </si>
  <si>
    <t>iv. Faculty Awards-National</t>
  </si>
  <si>
    <t>v. BoS/AC/Governing Body</t>
  </si>
  <si>
    <t>vi. Faculty with atleast one professional membership</t>
  </si>
  <si>
    <t>vii. Others (if not mentioned above -related to research)</t>
  </si>
  <si>
    <t>viii. Scopus h-index &gt;=10</t>
  </si>
  <si>
    <t>2--4</t>
  </si>
  <si>
    <t xml:space="preserve">ix. No. of Citations &gt;500 in Scopus </t>
  </si>
  <si>
    <t>&lt;99</t>
  </si>
  <si>
    <t>Governance</t>
  </si>
  <si>
    <t>Tasks</t>
  </si>
  <si>
    <t>BOA No of Tasks completed against the tasks Given in the List (Self Awarding)</t>
  </si>
  <si>
    <t xml:space="preserve">a. Department Level </t>
  </si>
  <si>
    <t>Counselor (Drop Down- Weekly done, record available)</t>
  </si>
  <si>
    <t>BOSA No of Tasks completed against the tasks Given in the List (Self Awarding)</t>
  </si>
  <si>
    <t>BoInfra No of Tasks completed against the tasks Given in the List (Self Awarding)</t>
  </si>
  <si>
    <t>BOE No of Tasks completed against the tasks Given in the List (Self Awarding)</t>
  </si>
  <si>
    <t>BOR No of Tasks completed against the tasks Given in the List (Self Awarding)</t>
  </si>
  <si>
    <t>e-waste Management Committee</t>
  </si>
  <si>
    <t>BOIQAC No of Tasks completed against the tasks Given in the List (Self Awarding)</t>
  </si>
  <si>
    <t>HoD Marks</t>
  </si>
  <si>
    <t>BoT&amp;P No of Tasks completed against the tasks Given in the List (Self Awarding)</t>
  </si>
  <si>
    <t>School DEAN Marks</t>
  </si>
  <si>
    <t>Admin Dean Marks</t>
  </si>
  <si>
    <t>BoAlumni No of Tasks completed against the tasks Given in the List (Self Awarding)</t>
  </si>
  <si>
    <t>(or)</t>
  </si>
  <si>
    <t>BoAdmission No of Tasks completed against the tasks Given in the List (Self Awarding)</t>
  </si>
  <si>
    <t>BoLibrary No of Tasks completed against the tasks Given in the List (Self Awarding)</t>
  </si>
  <si>
    <t>NPTEL Coordinator No of Tasks completed against the tasks Given in the List (Self Awarding)</t>
  </si>
  <si>
    <t>Non-department level person</t>
  </si>
  <si>
    <t xml:space="preserve">b. Admin Dean </t>
  </si>
  <si>
    <t>i.Admin Deans</t>
  </si>
  <si>
    <t xml:space="preserve">Vice Chancellor  </t>
  </si>
  <si>
    <t xml:space="preserve">c. School Dean </t>
  </si>
  <si>
    <t>i.School Deans</t>
  </si>
  <si>
    <t>List of Tasks completed Against tasks given in the list BoA will be evaluated further by Appraisal Committee</t>
  </si>
  <si>
    <t>List of Tasks completed Against tasks given in the list BoSA will be evaluated further by Appraisal Committee</t>
  </si>
  <si>
    <t>d. Department Head</t>
  </si>
  <si>
    <t>i.HoDs /Co-ordinators of the department (Concerned Program)</t>
  </si>
  <si>
    <t>List of Tasks completed Against tasks given in the list BoE will be evaluated further by Appraisal Committee</t>
  </si>
  <si>
    <t>List of Tasks completed Against tasks given in the list BoR will be evaluated further by Appraisal Committee</t>
  </si>
  <si>
    <t>e. Central level in-charges like: (Committee incharges should not be claimed here)</t>
  </si>
  <si>
    <t>Deputy Dean/ Joint Dean / Associate Dean / Assistant Dean (Recommendation of the Dean is to be attached)</t>
  </si>
  <si>
    <t>List of Tasks completed Against tasks given in the list BoIQAC will be evaluated further by Appraisal Committee</t>
  </si>
  <si>
    <t>UEAC (MoM / Beneficiary List should be provided as a Proof) (Recommendation of the Dean / School Dean is to be attached)</t>
  </si>
  <si>
    <t>List of Tasks completed Against tasks given in the list BoT&amp;P will be evaluated further by Appraisal Committee</t>
  </si>
  <si>
    <t>List of Tasks completed Against tasks given in the list BoInfra will be evaluated further by Appraisal Committee</t>
  </si>
  <si>
    <t>List of Tasks completed Against tasks given in the list BoAlumni will be evaluated further by Appraisal Committee</t>
  </si>
  <si>
    <t>List of Tasks completed Against tasks given in the list BoAdmission will be evaluated further by Appraisal Committee</t>
  </si>
  <si>
    <t>List of Tasks completed Against tasks given in the list BoLibrary will be evaluated further by Appraisal Committee</t>
  </si>
  <si>
    <t>List of Tasks completed Against tasks given in the list NPTEL Coordinator will be evaluated further by Appraisal Committee</t>
  </si>
  <si>
    <t>Admissions Advisory Committee</t>
  </si>
  <si>
    <t>Advisory Committee for Technology Development</t>
  </si>
  <si>
    <t>Discipline Committee</t>
  </si>
  <si>
    <t>WEDC (Women Empowerment &amp; Development Cell)</t>
  </si>
  <si>
    <t>Canteen Committee, Central Purchase Committee</t>
  </si>
  <si>
    <t>Evaluation Standards Committee</t>
  </si>
  <si>
    <t>Fee Fixation Committee</t>
  </si>
  <si>
    <t>Hostel Governing Body</t>
  </si>
  <si>
    <t>International Students Council</t>
  </si>
  <si>
    <t>IQAC, Library Advisory Committee</t>
  </si>
  <si>
    <t>OMBUDSPERSON</t>
  </si>
  <si>
    <t>Parents Teachers Association</t>
  </si>
  <si>
    <t>Research Monitoring Committee</t>
  </si>
  <si>
    <t>Students - Grievance Redressal Cell Committee</t>
  </si>
  <si>
    <t>Staff - Grievance Redressal Cell Committee</t>
  </si>
  <si>
    <t>SC, ST, BC, OBC Committee</t>
  </si>
  <si>
    <t>Sports Committee</t>
  </si>
  <si>
    <t>Students Welfare Committee</t>
  </si>
  <si>
    <t>Technical Skill Development Committee</t>
  </si>
  <si>
    <t>Training and Placement Cell Committee</t>
  </si>
  <si>
    <t>University Discipline Committee</t>
  </si>
  <si>
    <t>Women Sports and Cultural Forum Committee</t>
  </si>
  <si>
    <t>SDG Committee</t>
  </si>
  <si>
    <t>IKS Committee</t>
  </si>
  <si>
    <t>Anti-Ragging Committee</t>
  </si>
  <si>
    <t>Electrical Maintenance (MoM / Beneficiary List should be provided as a Proof) (Recommendation of the Dean / School Dean is to be attached)</t>
  </si>
  <si>
    <t>APSSDC (MoM / Beneficiary List should be provided as a Proof) (Recommendation of the Dean / School Dean is to be attached)</t>
  </si>
  <si>
    <t>NCC (MoM / Beneficiary List should be provided as a Proof) (Recommendation of the Dean / School Dean is to be attached)</t>
  </si>
  <si>
    <t>Biogas (MoM / Beneficiary List should be provided as a Proof) (Recommendation of the Dean / School Dean is to be attached)</t>
  </si>
  <si>
    <t>STP (MoM / Beneficiary List should be provided as a Proof) (Recommendation of the Dean / School Dean is to be attached)</t>
  </si>
  <si>
    <t>BOA No of Tasks completed against the tasks Given in the List – 50 Marks (Self Awarding)</t>
  </si>
  <si>
    <t>1. Action taken reports for the feedback on Curriculum and must be available in University website.
2. Circular with Agenda for DAAC Meeting
3. DAAC Minutes of Meeting and Action Taken Report (ATR)
4. BoS circular/email, BoS Minutes of meeting and ATR in the university website, Academic council approval copy, 
5. Curriculum hard copy to students
6. Course files audit reports, Laboratory audit/readiness reports semester wise"
7. Course Monitoring Committee (CMC) report and ATR
8. Value Added Courses as per Target and report
9. Reports organized for SDG’s.
10. Reports on events on events organized for IKS.
11. Number of OBE workshop organized in the department.
12. Documentation of any other points assigned/executed by the instruction of authorities (HoD/School Dean/Admin Dean).
13. Submitted the necessary information to central level Dean (Dean AAA)
14. Student details course wise and section wise,
15. Students counselling details,
i. faculty allocation,
ii. maintenance of records,
iii. identification of critical issues or students in academics, psychological, emotional and financial aspects referring to central level psychologists for counselling to resolve the issues"</t>
  </si>
  <si>
    <t>School</t>
  </si>
  <si>
    <t>Code</t>
  </si>
  <si>
    <t>BOSA No of Tasks completed against the tasks Given in the List – 50 Marks (Self Awarding)</t>
  </si>
  <si>
    <t>1. Students’ participation guidance and achievements report in co-curricular activities like participation in Ideathon, hackathon, skill competitions, Project expos, Conferences,"
2. Paper/Poster/Idea presentations, Skill development training etc.
3. Students’ participation and achievement report for extracurricular activities like sports, games, cultural NCC, NSS and Community activities in inter and intra institutes.
4. Reports regarding the involvement of the students in departmental activities like workshops, conferences, training programs, quality circles, feedback, accreditations, department magazine and Newsletters.
5. Keep the record of Scholarship (Internal / External) information (List of benefited Students with Scholarships).</t>
  </si>
  <si>
    <t>SAFT</t>
  </si>
  <si>
    <t>BOE No of Tasks completed against the tasks Given in the List – 50 Marks (Self Awarding)</t>
  </si>
  <si>
    <t>1. Communicated the blue print of question paper to faculty members.
2. Assured the preparation, moderation, and confidentiality of question papers in accordance with the curriculum and regulations as well as blue pringt
3. Records of Dissemination of assessment schedule to all faculty and students.
4. Audit report for formative assessments such as Module banks, T1 and summative assessments.
5. Ensure the conduct of formative assessments (FA), including assignments, T4, T5 for practices.
6. Compile and analyse results course-wise, section-wise, and faculty-wise and prepare Result Analysis Reports semester wise.
7. Address student examination-related grievances and assist in the resolution of malpractice cases as per university norms.
8. Maintain examination circulars, minutes of meetings, evaluation summaries, and ATRs for audit and compliance.
9. Prepare the attainment template regulation wise, circulate to faculty and ensure that the attainment is done for all courses semester wise.
10. Prepare ATR to improve the CO/CO-PO attainment.</t>
  </si>
  <si>
    <t>SASH</t>
  </si>
  <si>
    <t>BOR No of Tasks completed against the tasks Given in the List – 50 Marks (Self Awarding)</t>
  </si>
  <si>
    <t>1. Maintain the Number &amp; List of Publications, Patents, Books, Book Chapter, Conference Proceedings.
2. Conduct the School Research Board Meeting in a year and maintain the minutes.
3. Reports on creating awareness on various external funding time to time.
4. A report on creating the awareness on research policies to the faculty members.
5. Maintain the status &amp; report on Seed Money.
6. Maintain the list of consultancy projects and details.
7. Maintain the list Non-Government projects and details.
8. Assure the report of Conference, Seminars, Webinar, Workshop, STTP, Guest-Lecture available in the university website.
9. Conducted the DRC meeting successfully.
10. Conducted the Pre-Synopsis, Synopsis and ODEC meeting effectively.
11. Documents submitted to Dean R&amp;D office on time as per the request.</t>
  </si>
  <si>
    <t>SBPS</t>
  </si>
  <si>
    <t>BOIQAC No of Tasks completed against the tasks Given in the List – 50 Marks (Self Awarding)</t>
  </si>
  <si>
    <t>1. Attended the meeting regularly organized by IQAC. (Attendance).
2. Collected the feedback on curriculum effectively.
3. Faculty Development Program (FDP) certificates collected from the department and handover to IQAC.
4. The Information about Financial support from VFSTR and Certificate of Conference/STTP and Workshop attended by faculty handed over to IQAC during AQAR submission.
5. Collected feedback on facilities, Regulations, assessment, curriculum, students’ satisfaction survey, faculty satisfaction Index, Non-Teaching staff satisfaction etc."
6. Reports on AA, department rating, action points for accreditation/approvals and their action taken at department.</t>
  </si>
  <si>
    <t>SCI</t>
  </si>
  <si>
    <t>BoT&amp;P No of Tasks completed against the tasks Given in the List – 50 Marks (Self Awarding)</t>
  </si>
  <si>
    <t>1. Establish and strengthen partnerships with industries, research organizations, and corporate bodies for internships, training programs, and placements.
2. % of placement achieved.
3. Identify skill gaps and coordinate training programs, mock interviews, aptitude sessions, and soft skills workshops.
4. Facilitating summer and project internships for students by liaising with companies and ensuring compliance with academic requirements.
5. Guide students regarding career pathways, higher studies opportunities, competitive examinations, and entrepreneurship avenues
6. Organize campus recruitment drives, and pre-placement talks in collaboration with the Central Placement Cell.
7. Maintain Placement Data Reports (company-wise, student-wise with package) and prepare Yearly Placement Analysis Reports.
8. Maintain MoUs, attendance sheets, training feedback, and placement evidence for audit purposes.
9. Collect feedback from employers, alumni, and students to continuously improve training and placement strategies.
10. Action Taken Report for the above feedback.</t>
  </si>
  <si>
    <t>SCE</t>
  </si>
  <si>
    <t>BoInfra No of Tasks completed against the tasks Given in the List – 50 Marks (Self Awarding)</t>
  </si>
  <si>
    <t>1. The readiness has to be checked before the budget released for purchase / maintenance of laboratories.
2. Requirements of classrooms and laboratories need to be calculated and informed to HoD for commencement of new semester.
3. Ensure readiness of classroom like Boards, Smartboards, curtains, Chairs, Desks, Fans, Centralized ACs are arranged properly.
4. In Academic laboratories before commencement of each semester make sure that Dos and Don’ts, Safety Measures, First Aid Kit, Personal Protective Equipment and all Equipments are in Working Condition. A report for this arrangement with the signature of HoD and School Dean.
5. Stock Registers for laboratories, research centres, centre of excellence like laboratory equipment Register, Consumables Register, Maintenance Register, utilization register, chemical stock, glass ware etc should be maintained with details of bills for laboratory equipment, computers &amp; application software, printers, Electronic parts, devices, repairs, daily consumables etc. for all labs need to be maintained.
6. Industry, Academic, GO and NGO or any societal linkages to the laboratories and related MOUs should be maintained.
7. Details of Name of the laboratories, Records of Major equipment and their cost, safety measures adopted in each laboratory should be maintained.
8. Anything purchased related to laboratories need to be updated immediately in stock register.
9. Maintain geo tagged photos of all the classrooms and laboratories.
10. Perform internal audits including safety audit every semester.
11. Calibration of the equipment claimed by lab technician or lab assistant - a record should be maintained semester wise with the HoD and School Dean signature.
12. Availability of notice board in each department.
13. Day wise Cleaning and Maintenance of Laboratories - A record must be maintained.</t>
  </si>
  <si>
    <t>SEECE</t>
  </si>
  <si>
    <t>BoAlumni No of Tasks completed against the tasks Given in the List – 50 Marks (Self Awarding)</t>
  </si>
  <si>
    <t>1. Create and maintain a comprehensive alumni database and fostering strong communication channels between alumni and the institution.
2. Maintain and update Alumni Database with current employment status, higher studies, and entrepreneurship details.
3. Organize / coordinate for Alumni Meets (online/offline) and encourage alumni participation in departmental and institutional events.
4. Facilitating interactions between alumni and current students through mentoring, career guidance sessions, internships, and placement support.
5. Coordinate and document alumni contributions in the form of guest lectures, donations, endowments, or training sessions.
6. Collect alumni feedback on curriculum relevance, industry expectations, and employability skills; submit ATR to BoA.
7. Maintain event photos, attendance records, feedback reports, and alumni achievements for institutional archives.
8. Publishing alumni newsletters, magazines, and digital updates highlighting achievements, activities, and success stories.</t>
  </si>
  <si>
    <t>SLM</t>
  </si>
  <si>
    <t>BoAdmission No of Tasks completed against the tasks Given in the List – 50 Marks (Self Awarding)</t>
  </si>
  <si>
    <t>1. Dissemination of Admission brochure to stakeholders.
2. Records of participation in Admission Counselling Sessions to guide students and parents regarding program structure, career pathways, and eligibility criteria. 
3. Follow up schedules to contact the aspired students and get the admission. 
4. Maintain detailed records of admitted students.
5. Address and resolve complaints, disputes, or appeals related to the admission process in a timely manner.
6. Organize Orientation Programs for newly admitted students in coordination with the First-Year Coordinator.
7. Prepare annual Admission Reports with highlighting trends, cut-offs, diversity, and intake against sanctioned strength.
8. Record and maintain the Quality of admissions.</t>
  </si>
  <si>
    <t>DP</t>
  </si>
  <si>
    <t>BoLibrary No of Tasks completed against the tasks Given in the List – 50 Marks (Self Awarding)</t>
  </si>
  <si>
    <t>1. Maintain the department library with systematic cataloguing, classification, and maintenance of library resources for easy accessibility to users.
2. Formulate, review, and update policies related to library services, resource acquisition, usage, and management.
3. Coordinate with the Central Library to ensure the timely procurement of textbooks, reference books, journals, and e-resources for the department.
4. Promote the use of digital learning platforms, e-journals, and open-access resources among students and faculty.
5. Prepare department Library Utilization Reports and Student &amp; Faculty Access Records every semester.
6. Maintain library stock audit reports, utilization statistics, and book issue records for audit readiness.
7. Proposing annual budget requirements for library operations, subscriptions, and resource procurement, and ensuring optimal utilization of allocated funds.
8. Organize an activity such as book exhibitions, author interactions, library awareness programs, and promoting reading habits and research engagement within the campus
9. Collect a feedback from students, faculty, and research scholars to improve library services and adopt best practices.</t>
  </si>
  <si>
    <t>NPTEL Coordinator No of Tasks completed against the tasks Given in the List – 50 Marks (Self Awarding)</t>
  </si>
  <si>
    <t>1. Promote awareness about NPTEL/SWAYAM MOOCs among students and faculty. Facilitate course selection based on curriculum mapping and program outcomes.
2. Maintain semester-wise records of enrolled students and faculty for NPTEL/SWAYAM courses.
3. Track course completion, exam performance, and certification details. Prepare Performance Summary Reports and identify toppers for recognition.
4. Collect the certificate copy and maintain the record for every semester.
5. Ensure mapping of NPTEL courses with credit transfer as per regulation requirements.</t>
  </si>
  <si>
    <t>1. Two Internal Energy Audits Conducted.
2. Maintain the Internal Energy Audit Report
3. ATR for the internal audit report
4. One External Energy Audit conducted
5. Maintain the External Energy Audit Report
6. ATR for the external audit report.
7. Handle load distribution and maintain power factor as per standards. (Document required).
8. Submitted the power consumption every day to day wise report.
9. No. of complaints received and number of complaints rectified with regard to fire, electrical faults, and electrical hazards.
10. Maintained a log of complaints and actions taken.
11. Implemented energy-saving practices such as LED conversions, automation sensors, and proper load management.
12. Monitor energy consumption in each block and suggested measures to reduce cost.
13. Backups: Operate, maintain, and test DG sets periodically.
14. Provided electrical arrangements for seminars, cultural activities, examinations, and special events without any power interruption.
15. Channelling of electrical wires in all blocks.</t>
  </si>
  <si>
    <t>1. Develop annual/semester-wise skill development calendars.
2. Collaborate with departments to integrate skill-based modules into the curriculum.
3. Organize workshops, guest lectures, hands-on training sessions, and certification programs.
4. Coordinate with external trainers, industry experts, and training agencies.
5. Ensure effective scheduling without affecting academic activities.
6. Facilitate MoUs for skill training, internships, and placement-oriented programs.
7. Conduct awareness programs on skill development opportunities.
8. Motivate and guide students to participate in various training programs, competitions, and certification courses.
9. Maintain a database of students undergoing or completing skill training.
10. Organize pre- and post-training assessments.
11. Ensure students receive certificates from recognized bodies after successful completion.
12. Maintain records of certifications issued.
13. Maintain training materials, equipment, and software required for skill programs.
14. Align skill training with current industry requirements and placement trends.
15. Assist the Training and Placement Cell in grooming students for employability.</t>
  </si>
  <si>
    <t>1. Ensure discipline, proper conduct, and smooth functioning of the NCC wing.
2. Plan, supervise, and conduct NCC training sessions including drill, weapon training (as applicable), physical training, map reading, and theory classes.
3. Guide cadets for certificate examinations (B &amp; C Certificates) and prepare them for various NCC camps.
4. Number of students certified with B&amp;C certification.
5. Oversee the enrollment process of new cadets.
6. Maintain cadet records, attendance, service books, and personal files.
7. Organize and supervise university-level NCC events such as Independence Day, Republic Day parades, Guard of Honour, and other ceremonial duties.
8. Support university events by offering NCC assistance where required.
9. Facilitate cadets’ participation in CATC, ATC, TSC, RDC, NIC, and adventure camps.
10. Provide mentorship to cadets regarding career opportunities in the armed forces and other sectors.
11. Ensure cadets’ safety and well-being during training sessions, events, and camps.
12. Maintain all NCC equipment including rifles (if allocated), drill items, uniforms, and training aids.
13. Ensure proper stock registers, issue and return records, and safe storage of equipment.</t>
  </si>
  <si>
    <t>1. Develop annual outreach plans. 
2. Number of events Conducted on health, sanitation, environment, literacy, digital literacy, and skill development. Build partnerships with local villages, schools, NGOs, and government bodies.
3. Facilitate volunteer participation. Provide guidelines and logistics for field visits, surveys, and community projects.
4. Implement activities under village adoption schemes and government initiatives such as UBA.
5. Organize workshops on leadership, disaster preparedness, social responsibility, and civic values.
6. Maintain documentation for each activity. Submit reports to the university administration on time.
7. Collect feedback from beneficiaries and refine future activities. 
8. Provide volunteer support for major university programs and national-observance days.</t>
  </si>
  <si>
    <t>1. Oversee daily functioning of the biogas plant to ensure smooth gas production and waste processing.
2. Monitor input materials (organic waste, food waste, agricultural waste) and maintain proper feed ratios.
3. Check gas pressure, slurry output, and system performance regularly.
4. Coordinate with hostel mess, canteens, and housekeeping teams for timely collection and delivery of organic waste
5. Maintain logs related to: Quantity of waste collected, Gas produced and utilized, Slurry generated and distributed, Maintenance activities conducted.
6. Submit monthly/quarterly reports to the university administration.
7. Conduct periodic inspections of pipelines, valves, digesters, and storage systems
8. Encourage UG/PG/Ph.D. projects linked to biogas technology, bio-slurry utilization, and environmental sustainability.
9. Arrange special lectures, demonstrations, and sustainability campaigns related to biogas usage.
10. Provide periodic updates on plant performance, challenges, and achievements to the Dean, Infrastructure Committee, or Sustainability Cell.
11. Submit the Biogas plant report to Day wise report daily.</t>
  </si>
  <si>
    <t>1. Oversee daily functioning of the Sewage Treatment Plant.
2. Ensure all units (screening, aeration, sedimentation, filtration, sludge handling, etc.) operate efficiently.
3. Monitor inflow and outflow water quality regularly.
4. Ensure treated water meets the standards prescribed by Pollution Control Board (PCB) and environmental regulations.
5. Maintain compliance documentation and support external inspections/audits.
6. Conduct periodic testing of pH, BOD, COD, TSS, TDS, dissolved oxygen, and microbial load.
7. Maintain records of all test results and corrective actions taken.
8. Schedule and supervise preventive maintenance of pumps, motors, aerators, blowers, electrical systems, and pipelines.
9. Attend breakdowns immediately and coordinate repairs with technicians.
10. Coordinate use of treated water for gardening, landscaping, flushing, or other non-potable applications.
11. Ensure safe storage and distribution of treated water.
12. Coordinate with external service providers for specialized maintenance, AMC services, equipment procurement, and chemical supply.
13. Conduct awareness/training for staff working at the STP.
14. Maintain logs on:
 a. Daily inflow/outflow volumes
 b. Operational parameters
 c. Electricity and chemical consumption
 d. Maintenance schedules
 e. Incidents, breakdowns, and corrective actions.
15. Prepare reports for internal audits, IQAC, NAAC, and regulatory bodies.</t>
  </si>
  <si>
    <t>Atleast 60% should be External Participants.</t>
  </si>
  <si>
    <t>Atleast 50% should be External Participants.</t>
  </si>
  <si>
    <t>Atleast 40% should be External Participants.</t>
  </si>
  <si>
    <t>Atleast 25% should be External Participants.</t>
  </si>
  <si>
    <t>Only for Internal Members</t>
  </si>
  <si>
    <t>Not Organized</t>
  </si>
  <si>
    <t>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</si>
</sst>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409]d/mmm/yy;@"/>
  </numFmts>
  <fonts count="27">
    <font>
      <sz val="11"/>
      <color theme="1"/>
      <name val="Calibri"/>
      <charset val="134"/>
      <scheme val="minor"/>
    </font>
    <font>
      <sz val="12"/>
      <color theme="1"/>
      <name val="Times New Roman"/>
      <family val="1"/>
    </font>
    <font>
      <sz val="12"/>
      <name val="Times New Roman"/>
      <family val="1"/>
    </font>
    <font>
      <sz val="11"/>
      <name val="Times New Roman"/>
      <family val="1"/>
    </font>
    <font>
      <b/>
      <sz val="12"/>
      <color theme="1"/>
      <name val="Times New Roman"/>
      <family val="1"/>
    </font>
    <font>
      <sz val="11"/>
      <color theme="1"/>
      <name val="Times New Roman"/>
      <family val="1"/>
    </font>
    <font>
      <b/>
      <sz val="20"/>
      <color theme="1"/>
      <name val="Times New Roman"/>
      <family val="1"/>
    </font>
    <font>
      <b/>
      <sz val="11"/>
      <color theme="1"/>
      <name val="Times New Roman"/>
      <family val="1"/>
    </font>
    <font>
      <b/>
      <sz val="12"/>
      <name val="Times New Roman"/>
      <family val="1"/>
    </font>
    <font>
      <sz val="11"/>
      <name val="Calibri"/>
      <family val="2"/>
      <scheme val="minor"/>
    </font>
    <font>
      <sz val="12"/>
      <color rgb="FFFF0000"/>
      <name val="Times New Roman"/>
      <family val="1"/>
    </font>
    <font>
      <sz val="18"/>
      <name val="Times New Roman"/>
      <family val="1"/>
    </font>
    <font>
      <b/>
      <sz val="8"/>
      <name val="Times New Roman"/>
      <family val="1"/>
    </font>
    <font>
      <sz val="22"/>
      <name val="Times New Roman"/>
      <family val="1"/>
    </font>
    <font>
      <b/>
      <sz val="12"/>
      <color theme="1"/>
      <name val="Arial"/>
      <family val="2"/>
    </font>
    <font>
      <sz val="11"/>
      <color theme="4"/>
      <name val="Times New Roman"/>
      <family val="1"/>
    </font>
    <font>
      <sz val="11"/>
      <color theme="9" tint="0.59999389629810485"/>
      <name val="Times New Roman"/>
      <family val="1"/>
    </font>
    <font>
      <b/>
      <sz val="12"/>
      <name val="Arial"/>
      <family val="2"/>
    </font>
    <font>
      <sz val="14"/>
      <name val="Times New Roman"/>
      <family val="1"/>
    </font>
    <font>
      <b/>
      <sz val="18"/>
      <name val="Times New Roman"/>
      <family val="1"/>
    </font>
    <font>
      <b/>
      <sz val="14"/>
      <color theme="1"/>
      <name val="Times New Roman"/>
      <family val="1"/>
    </font>
    <font>
      <u/>
      <sz val="11"/>
      <color theme="10"/>
      <name val="Calibri"/>
      <family val="2"/>
      <scheme val="minor"/>
    </font>
    <font>
      <sz val="14"/>
      <color theme="1"/>
      <name val="Times New Roman"/>
      <family val="1"/>
    </font>
    <font>
      <b/>
      <sz val="28"/>
      <color theme="1"/>
      <name val="Times New Roman"/>
      <family val="1"/>
    </font>
    <font>
      <sz val="10"/>
      <color theme="1"/>
      <name val="Times New Roman"/>
      <family val="1"/>
    </font>
    <font>
      <sz val="11"/>
      <color rgb="FFFF0000"/>
      <name val="Times New Roman"/>
      <family val="1"/>
    </font>
    <font>
      <i/>
      <sz val="12"/>
      <name val="Times New Roman"/>
      <family val="1"/>
    </font>
  </fonts>
  <fills count="12">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
      <patternFill patternType="solid">
        <fgColor theme="4" tint="0.39994506668294322"/>
        <bgColor indexed="64"/>
      </patternFill>
    </fill>
    <fill>
      <patternFill patternType="solid">
        <fgColor theme="9" tint="0.59999389629810485"/>
        <bgColor indexed="64"/>
      </patternFill>
    </fill>
    <fill>
      <patternFill patternType="solid">
        <fgColor rgb="FFFFC7CE"/>
        <bgColor rgb="FFFFC7CE"/>
      </patternFill>
    </fill>
    <fill>
      <patternFill patternType="solid">
        <fgColor theme="9" tint="0.39994506668294322"/>
        <bgColor indexed="64"/>
      </patternFill>
    </fill>
    <fill>
      <patternFill patternType="solid">
        <fgColor theme="5" tint="-0.249977111117893"/>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7" tint="0.39994506668294322"/>
        <bgColor indexed="64"/>
      </patternFill>
    </fill>
  </fills>
  <borders count="9">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21" fillId="0" borderId="0" applyNumberFormat="0" applyFill="0" applyBorder="0" applyAlignment="0" applyProtection="0"/>
  </cellStyleXfs>
  <cellXfs count="184">
    <xf numFmtId="0" fontId="0" fillId="0" borderId="0" xfId="0"/>
    <xf numFmtId="0" fontId="1" fillId="0" borderId="0" xfId="0" applyFont="1" applyProtection="1">
      <protection locked="0"/>
    </xf>
    <xf numFmtId="0" fontId="0" fillId="0" borderId="0" xfId="0" applyAlignment="1">
      <alignment vertical="center"/>
    </xf>
    <xf numFmtId="0" fontId="0" fillId="0" borderId="0" xfId="0" applyAlignment="1">
      <alignment wrapText="1"/>
    </xf>
    <xf numFmtId="0" fontId="0" fillId="0" borderId="1" xfId="0" applyBorder="1" applyAlignment="1">
      <alignment vertical="center" textRotation="90"/>
    </xf>
    <xf numFmtId="0" fontId="0" fillId="0" borderId="1" xfId="0" applyBorder="1" applyAlignment="1" applyProtection="1">
      <alignment vertical="center" textRotation="90"/>
      <protection hidden="1"/>
    </xf>
    <xf numFmtId="0" fontId="2" fillId="0" borderId="1" xfId="0" applyFont="1" applyBorder="1" applyAlignment="1" applyProtection="1">
      <alignment vertical="center"/>
      <protection hidden="1"/>
    </xf>
    <xf numFmtId="0" fontId="3" fillId="0" borderId="1" xfId="0" applyFont="1" applyBorder="1" applyAlignment="1" applyProtection="1">
      <alignment horizontal="left" vertical="center"/>
      <protection hidden="1"/>
    </xf>
    <xf numFmtId="0" fontId="0" fillId="0" borderId="1" xfId="0" applyBorder="1"/>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protection hidden="1"/>
    </xf>
    <xf numFmtId="0" fontId="5" fillId="0" borderId="0" xfId="0" applyFont="1" applyAlignment="1" applyProtection="1">
      <alignment wrapText="1"/>
      <protection hidden="1"/>
    </xf>
    <xf numFmtId="0" fontId="1" fillId="0" borderId="0" xfId="0" applyFont="1" applyProtection="1">
      <protection hidden="1"/>
    </xf>
    <xf numFmtId="0" fontId="4" fillId="2" borderId="1" xfId="0" applyFont="1" applyFill="1" applyBorder="1" applyAlignment="1" applyProtection="1">
      <alignment horizontal="center" vertical="center"/>
      <protection hidden="1"/>
    </xf>
    <xf numFmtId="0" fontId="7" fillId="2" borderId="1" xfId="0" applyFont="1" applyFill="1" applyBorder="1" applyAlignment="1" applyProtection="1">
      <alignment horizontal="center" vertical="center" wrapText="1"/>
      <protection hidden="1"/>
    </xf>
    <xf numFmtId="20" fontId="4" fillId="2" borderId="1" xfId="0" applyNumberFormat="1" applyFont="1" applyFill="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0" fontId="0" fillId="0" borderId="0" xfId="0" applyAlignment="1" applyProtection="1">
      <alignment vertical="center"/>
      <protection hidden="1"/>
    </xf>
    <xf numFmtId="0" fontId="2" fillId="0" borderId="1" xfId="0" applyFont="1" applyBorder="1" applyAlignment="1" applyProtection="1">
      <alignment horizontal="center" vertical="center" wrapText="1"/>
      <protection hidden="1"/>
    </xf>
    <xf numFmtId="0" fontId="2" fillId="0" borderId="1" xfId="0" applyFont="1" applyBorder="1" applyAlignment="1" applyProtection="1">
      <alignment horizontal="center" vertical="center"/>
      <protection hidden="1"/>
    </xf>
    <xf numFmtId="0" fontId="3" fillId="0" borderId="1" xfId="0" applyFont="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locked="0" hidden="1"/>
    </xf>
    <xf numFmtId="2" fontId="3" fillId="4" borderId="1" xfId="0" applyNumberFormat="1" applyFont="1" applyFill="1" applyBorder="1" applyAlignment="1" applyProtection="1">
      <alignment horizontal="center" vertical="center"/>
      <protection hidden="1"/>
    </xf>
    <xf numFmtId="0" fontId="3" fillId="6" borderId="1" xfId="0" applyFont="1" applyFill="1" applyBorder="1" applyAlignment="1">
      <alignment horizontal="center" vertical="center" wrapText="1"/>
    </xf>
    <xf numFmtId="0" fontId="2" fillId="3" borderId="1" xfId="0" applyFont="1" applyFill="1" applyBorder="1" applyAlignment="1" applyProtection="1">
      <alignment vertical="center"/>
      <protection locked="0" hidden="1"/>
    </xf>
    <xf numFmtId="0" fontId="2" fillId="3" borderId="1" xfId="0" applyFont="1" applyFill="1" applyBorder="1" applyAlignment="1" applyProtection="1">
      <alignment horizontal="center" vertical="center"/>
      <protection locked="0" hidden="1"/>
    </xf>
    <xf numFmtId="0" fontId="1" fillId="0" borderId="0" xfId="0" applyFont="1" applyAlignment="1" applyProtection="1">
      <alignment vertical="top" wrapText="1"/>
      <protection hidden="1"/>
    </xf>
    <xf numFmtId="0" fontId="2" fillId="3" borderId="1" xfId="0" applyFont="1" applyFill="1" applyBorder="1" applyAlignment="1" applyProtection="1">
      <alignment vertical="center" wrapText="1"/>
      <protection hidden="1"/>
    </xf>
    <xf numFmtId="0" fontId="2" fillId="7" borderId="1" xfId="0" applyFont="1" applyFill="1" applyBorder="1" applyAlignment="1" applyProtection="1">
      <alignment horizontal="center" vertical="center" wrapText="1"/>
      <protection locked="0" hidden="1"/>
    </xf>
    <xf numFmtId="0" fontId="2" fillId="3" borderId="1" xfId="0" applyFont="1" applyFill="1" applyBorder="1" applyAlignment="1" applyProtection="1">
      <alignment horizontal="left" vertical="center" wrapText="1"/>
      <protection locked="0" hidden="1"/>
    </xf>
    <xf numFmtId="0" fontId="9" fillId="0" borderId="1" xfId="0" applyFont="1" applyBorder="1" applyAlignment="1" applyProtection="1">
      <alignment horizontal="center" vertical="center"/>
      <protection hidden="1"/>
    </xf>
    <xf numFmtId="0" fontId="2" fillId="0" borderId="1" xfId="0" applyFont="1" applyBorder="1" applyAlignment="1" applyProtection="1">
      <alignment horizontal="left" vertical="center" wrapText="1"/>
      <protection hidden="1"/>
    </xf>
    <xf numFmtId="0" fontId="9" fillId="0" borderId="1" xfId="0" applyFont="1" applyBorder="1" applyAlignment="1" applyProtection="1">
      <alignment horizontal="center"/>
      <protection hidden="1"/>
    </xf>
    <xf numFmtId="2" fontId="2" fillId="4" borderId="1" xfId="0" applyNumberFormat="1" applyFont="1" applyFill="1" applyBorder="1" applyAlignment="1" applyProtection="1">
      <alignment horizontal="center" vertical="center"/>
      <protection hidden="1"/>
    </xf>
    <xf numFmtId="0" fontId="10" fillId="0" borderId="1" xfId="0" applyFont="1" applyBorder="1" applyAlignment="1" applyProtection="1">
      <alignment horizontal="center" vertical="center" wrapText="1"/>
      <protection hidden="1"/>
    </xf>
    <xf numFmtId="0" fontId="5" fillId="0" borderId="1" xfId="0" applyFont="1" applyBorder="1" applyAlignment="1" applyProtection="1">
      <alignment wrapText="1"/>
      <protection hidden="1"/>
    </xf>
    <xf numFmtId="0" fontId="2" fillId="0" borderId="1" xfId="0" applyFont="1" applyBorder="1" applyAlignment="1" applyProtection="1">
      <alignment horizontal="left" vertical="center"/>
      <protection hidden="1"/>
    </xf>
    <xf numFmtId="0" fontId="2" fillId="0" borderId="1" xfId="0" applyFont="1" applyBorder="1" applyAlignment="1" applyProtection="1">
      <alignment vertical="center" wrapText="1"/>
      <protection hidden="1"/>
    </xf>
    <xf numFmtId="0" fontId="2" fillId="0" borderId="1" xfId="0" applyFont="1" applyBorder="1" applyAlignment="1" applyProtection="1">
      <alignment horizontal="center"/>
      <protection hidden="1"/>
    </xf>
    <xf numFmtId="0" fontId="2" fillId="3" borderId="1" xfId="0" applyFont="1" applyFill="1" applyBorder="1" applyAlignment="1" applyProtection="1">
      <alignment vertical="center" wrapText="1"/>
      <protection locked="0" hidden="1"/>
    </xf>
    <xf numFmtId="1" fontId="13" fillId="8" borderId="1" xfId="0" applyNumberFormat="1" applyFont="1" applyFill="1" applyBorder="1" applyAlignment="1" applyProtection="1">
      <alignment horizontal="center" vertical="center"/>
      <protection hidden="1"/>
    </xf>
    <xf numFmtId="0" fontId="4" fillId="0" borderId="0" xfId="0" applyFont="1" applyAlignment="1" applyProtection="1">
      <alignment vertical="center" wrapText="1"/>
      <protection hidden="1"/>
    </xf>
    <xf numFmtId="0" fontId="2" fillId="0" borderId="0" xfId="0" applyFont="1" applyAlignment="1" applyProtection="1">
      <alignment horizontal="left" vertical="center" wrapText="1"/>
      <protection hidden="1"/>
    </xf>
    <xf numFmtId="0" fontId="0" fillId="0" borderId="0" xfId="0" applyAlignment="1" applyProtection="1">
      <alignment horizontal="center"/>
      <protection hidden="1"/>
    </xf>
    <xf numFmtId="0" fontId="5"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5" fillId="0" borderId="0" xfId="0" applyFont="1" applyAlignment="1" applyProtection="1">
      <alignment horizontal="center" vertical="center"/>
      <protection hidden="1"/>
    </xf>
    <xf numFmtId="0" fontId="1" fillId="0" borderId="0" xfId="0" applyFont="1" applyAlignment="1" applyProtection="1">
      <alignment vertical="center" wrapText="1"/>
      <protection hidden="1"/>
    </xf>
    <xf numFmtId="0" fontId="14" fillId="0" borderId="0" xfId="0" applyFont="1" applyAlignment="1" applyProtection="1">
      <alignment horizontal="center" vertical="center"/>
      <protection hidden="1"/>
    </xf>
    <xf numFmtId="0" fontId="5" fillId="0" borderId="0" xfId="0" applyFont="1" applyProtection="1">
      <protection hidden="1"/>
    </xf>
    <xf numFmtId="0" fontId="5" fillId="0" borderId="0" xfId="0" applyFont="1" applyAlignment="1" applyProtection="1">
      <alignment horizontal="center"/>
      <protection hidden="1"/>
    </xf>
    <xf numFmtId="0" fontId="15" fillId="0" borderId="0" xfId="0" applyFont="1" applyAlignment="1" applyProtection="1">
      <alignment horizontal="center" vertical="center"/>
      <protection hidden="1"/>
    </xf>
    <xf numFmtId="0" fontId="16" fillId="0" borderId="0" xfId="0" applyFont="1" applyProtection="1">
      <protection hidden="1"/>
    </xf>
    <xf numFmtId="0" fontId="2" fillId="2" borderId="1" xfId="0" applyFont="1" applyFill="1" applyBorder="1" applyAlignment="1" applyProtection="1">
      <alignment horizontal="center" vertical="center" wrapText="1"/>
      <protection hidden="1"/>
    </xf>
    <xf numFmtId="0" fontId="1" fillId="0" borderId="0" xfId="0" applyFont="1" applyAlignment="1" applyProtection="1">
      <alignment vertical="center"/>
      <protection hidden="1"/>
    </xf>
    <xf numFmtId="0" fontId="17" fillId="0" borderId="1" xfId="0" applyFont="1" applyBorder="1" applyAlignment="1" applyProtection="1">
      <alignment horizontal="center" vertical="center" wrapText="1"/>
      <protection hidden="1"/>
    </xf>
    <xf numFmtId="0" fontId="3" fillId="0" borderId="1" xfId="0" applyFont="1" applyBorder="1" applyAlignment="1" applyProtection="1">
      <alignment horizontal="left" vertical="center" wrapText="1"/>
      <protection hidden="1"/>
    </xf>
    <xf numFmtId="0" fontId="3" fillId="0" borderId="1"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locked="0" hidden="1"/>
    </xf>
    <xf numFmtId="2" fontId="3" fillId="5" borderId="1" xfId="0" applyNumberFormat="1" applyFont="1" applyFill="1" applyBorder="1" applyAlignment="1" applyProtection="1">
      <alignment horizontal="center" vertical="center"/>
      <protection hidden="1"/>
    </xf>
    <xf numFmtId="0" fontId="3" fillId="6" borderId="1" xfId="0" applyFont="1" applyFill="1" applyBorder="1" applyAlignment="1" applyProtection="1">
      <alignment horizontal="center" vertical="center" wrapText="1"/>
      <protection hidden="1"/>
    </xf>
    <xf numFmtId="0" fontId="5" fillId="0" borderId="0" xfId="0" applyFont="1" applyAlignment="1" applyProtection="1">
      <alignment vertical="center"/>
      <protection hidden="1"/>
    </xf>
    <xf numFmtId="0" fontId="3" fillId="3" borderId="1" xfId="0" applyFont="1" applyFill="1" applyBorder="1" applyAlignment="1" applyProtection="1">
      <alignment horizontal="center" vertical="center"/>
      <protection locked="0" hidden="1"/>
    </xf>
    <xf numFmtId="1" fontId="3" fillId="4" borderId="1" xfId="0" applyNumberFormat="1" applyFont="1" applyFill="1" applyBorder="1" applyAlignment="1" applyProtection="1">
      <alignment horizontal="center" vertical="center"/>
      <protection hidden="1"/>
    </xf>
    <xf numFmtId="1" fontId="3" fillId="0" borderId="1" xfId="0" applyNumberFormat="1" applyFont="1" applyBorder="1" applyAlignment="1" applyProtection="1">
      <alignment horizontal="center" vertical="center"/>
      <protection hidden="1"/>
    </xf>
    <xf numFmtId="1" fontId="3" fillId="0" borderId="1" xfId="0" applyNumberFormat="1" applyFont="1" applyBorder="1" applyAlignment="1" applyProtection="1">
      <alignment horizontal="center" vertical="center" wrapText="1"/>
      <protection hidden="1"/>
    </xf>
    <xf numFmtId="1" fontId="5" fillId="4" borderId="1" xfId="0" applyNumberFormat="1" applyFont="1" applyFill="1" applyBorder="1" applyAlignment="1" applyProtection="1">
      <alignment horizontal="center" vertical="center"/>
      <protection hidden="1"/>
    </xf>
    <xf numFmtId="9" fontId="3" fillId="3" borderId="1" xfId="0" applyNumberFormat="1" applyFont="1" applyFill="1" applyBorder="1" applyAlignment="1" applyProtection="1">
      <alignment horizontal="center" vertical="center"/>
      <protection locked="0" hidden="1"/>
    </xf>
    <xf numFmtId="1" fontId="3" fillId="4" borderId="1" xfId="0" applyNumberFormat="1" applyFont="1" applyFill="1" applyBorder="1" applyAlignment="1" applyProtection="1">
      <alignment horizontal="center" vertical="center" wrapText="1"/>
      <protection hidden="1"/>
    </xf>
    <xf numFmtId="1" fontId="3" fillId="3" borderId="1" xfId="0" applyNumberFormat="1" applyFont="1" applyFill="1" applyBorder="1" applyAlignment="1" applyProtection="1">
      <alignment horizontal="center" vertical="center"/>
      <protection locked="0" hidden="1"/>
    </xf>
    <xf numFmtId="1" fontId="19" fillId="8"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center" vertical="center"/>
      <protection hidden="1"/>
    </xf>
    <xf numFmtId="0" fontId="15" fillId="0" borderId="0" xfId="0" applyFont="1" applyProtection="1">
      <protection hidden="1"/>
    </xf>
    <xf numFmtId="0" fontId="1" fillId="0" borderId="0" xfId="0" applyFont="1"/>
    <xf numFmtId="0" fontId="5" fillId="0" borderId="0" xfId="0" applyFont="1"/>
    <xf numFmtId="0" fontId="5" fillId="0" borderId="0" xfId="0" applyFont="1" applyAlignment="1">
      <alignment wrapText="1"/>
    </xf>
    <xf numFmtId="0" fontId="5" fillId="0" borderId="0" xfId="0" applyFont="1" applyAlignment="1">
      <alignment horizontal="center" vertical="center" wrapText="1"/>
    </xf>
    <xf numFmtId="0" fontId="5" fillId="0" borderId="0" xfId="0" applyFont="1" applyAlignment="1">
      <alignment horizontal="center"/>
    </xf>
    <xf numFmtId="0" fontId="3" fillId="3" borderId="1" xfId="0" applyFont="1" applyFill="1" applyBorder="1" applyAlignment="1" applyProtection="1">
      <alignment horizontal="center" vertical="center" wrapText="1"/>
      <protection locked="0"/>
    </xf>
    <xf numFmtId="0" fontId="5" fillId="9" borderId="0" xfId="0" applyFont="1" applyFill="1"/>
    <xf numFmtId="0" fontId="1" fillId="0" borderId="1" xfId="0" applyFont="1" applyBorder="1" applyAlignment="1" applyProtection="1">
      <alignment horizontal="left" vertical="center" wrapText="1"/>
      <protection hidden="1"/>
    </xf>
    <xf numFmtId="1" fontId="3" fillId="5" borderId="1" xfId="0" applyNumberFormat="1" applyFont="1" applyFill="1" applyBorder="1" applyAlignment="1" applyProtection="1">
      <alignment horizontal="center" vertical="center" wrapText="1"/>
      <protection hidden="1"/>
    </xf>
    <xf numFmtId="1" fontId="19" fillId="8" borderId="1" xfId="0" applyNumberFormat="1" applyFont="1" applyFill="1" applyBorder="1" applyAlignment="1" applyProtection="1">
      <alignment horizontal="center" vertical="center" wrapText="1"/>
      <protection hidden="1"/>
    </xf>
    <xf numFmtId="164" fontId="5" fillId="3" borderId="5" xfId="0" applyNumberFormat="1" applyFont="1" applyFill="1" applyBorder="1" applyAlignment="1" applyProtection="1">
      <alignment vertical="center"/>
      <protection locked="0" hidden="1"/>
    </xf>
    <xf numFmtId="164" fontId="5" fillId="3" borderId="6" xfId="0" applyNumberFormat="1" applyFont="1" applyFill="1" applyBorder="1" applyAlignment="1" applyProtection="1">
      <alignment vertical="center"/>
      <protection locked="0" hidden="1"/>
    </xf>
    <xf numFmtId="164" fontId="5" fillId="3" borderId="7" xfId="0" applyNumberFormat="1" applyFont="1" applyFill="1" applyBorder="1" applyAlignment="1" applyProtection="1">
      <alignment vertical="center"/>
      <protection locked="0" hidden="1"/>
    </xf>
    <xf numFmtId="165" fontId="5" fillId="0" borderId="0" xfId="0" applyNumberFormat="1" applyFont="1" applyProtection="1">
      <protection hidden="1"/>
    </xf>
    <xf numFmtId="0" fontId="7" fillId="10" borderId="1" xfId="0" applyFont="1" applyFill="1" applyBorder="1" applyProtection="1">
      <protection hidden="1"/>
    </xf>
    <xf numFmtId="0" fontId="7" fillId="10" borderId="1" xfId="0" applyFont="1" applyFill="1" applyBorder="1" applyAlignment="1" applyProtection="1">
      <alignment horizontal="center" vertical="center" wrapText="1"/>
      <protection hidden="1"/>
    </xf>
    <xf numFmtId="0" fontId="7" fillId="10" borderId="1" xfId="0" applyFont="1" applyFill="1" applyBorder="1" applyAlignment="1" applyProtection="1">
      <alignment horizontal="center" vertical="center"/>
      <protection hidden="1"/>
    </xf>
    <xf numFmtId="0" fontId="5" fillId="11" borderId="1" xfId="0" applyFont="1" applyFill="1" applyBorder="1" applyProtection="1">
      <protection hidden="1"/>
    </xf>
    <xf numFmtId="2" fontId="5" fillId="0" borderId="1" xfId="0" applyNumberFormat="1" applyFont="1" applyBorder="1" applyAlignment="1" applyProtection="1">
      <alignment horizontal="center" vertical="center"/>
      <protection hidden="1"/>
    </xf>
    <xf numFmtId="0" fontId="5" fillId="0" borderId="0" xfId="0" applyFont="1" applyAlignment="1" applyProtection="1">
      <alignment vertical="center" wrapText="1"/>
      <protection hidden="1"/>
    </xf>
    <xf numFmtId="0" fontId="5" fillId="0" borderId="1" xfId="0" applyFont="1" applyBorder="1" applyProtection="1">
      <protection hidden="1"/>
    </xf>
    <xf numFmtId="0" fontId="22" fillId="0" borderId="0" xfId="0" applyFont="1" applyAlignment="1" applyProtection="1">
      <alignment horizontal="center" vertical="center"/>
      <protection hidden="1"/>
    </xf>
    <xf numFmtId="0" fontId="4" fillId="10" borderId="1" xfId="0" applyFont="1" applyFill="1" applyBorder="1" applyAlignment="1" applyProtection="1">
      <alignment horizontal="center" vertical="center" wrapText="1"/>
      <protection hidden="1"/>
    </xf>
    <xf numFmtId="0" fontId="4" fillId="10" borderId="4" xfId="0" applyFont="1" applyFill="1" applyBorder="1" applyAlignment="1" applyProtection="1">
      <alignment horizontal="center" vertical="center" wrapText="1"/>
      <protection hidden="1"/>
    </xf>
    <xf numFmtId="0" fontId="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wrapText="1"/>
      <protection hidden="1"/>
    </xf>
    <xf numFmtId="0" fontId="4" fillId="0" borderId="3" xfId="0" applyFont="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4" fillId="0" borderId="3" xfId="0" applyFont="1" applyBorder="1" applyAlignment="1" applyProtection="1">
      <alignment horizontal="center" vertical="center" wrapText="1"/>
      <protection hidden="1"/>
    </xf>
    <xf numFmtId="0" fontId="4" fillId="0" borderId="8" xfId="0" applyFont="1" applyBorder="1" applyAlignment="1" applyProtection="1">
      <alignment horizontal="center" vertical="center" wrapText="1"/>
      <protection hidden="1"/>
    </xf>
    <xf numFmtId="0" fontId="4" fillId="0" borderId="4" xfId="0" applyFont="1" applyBorder="1" applyAlignment="1" applyProtection="1">
      <alignment horizontal="center" vertical="center" wrapText="1"/>
      <protection hidden="1"/>
    </xf>
    <xf numFmtId="0" fontId="23" fillId="0" borderId="1" xfId="0" applyFont="1" applyBorder="1" applyAlignment="1" applyProtection="1">
      <alignment horizontal="center" vertical="center"/>
      <protection hidden="1"/>
    </xf>
    <xf numFmtId="0" fontId="23" fillId="0" borderId="3" xfId="0" applyFont="1" applyBorder="1" applyAlignment="1" applyProtection="1">
      <alignment horizontal="center" vertical="center"/>
      <protection hidden="1"/>
    </xf>
    <xf numFmtId="0" fontId="5" fillId="0" borderId="1" xfId="0" applyFont="1" applyBorder="1" applyAlignment="1" applyProtection="1">
      <alignment horizontal="left" vertical="center" wrapText="1"/>
      <protection hidden="1"/>
    </xf>
    <xf numFmtId="0" fontId="5" fillId="0" borderId="1" xfId="0" applyFont="1" applyBorder="1" applyAlignment="1" applyProtection="1">
      <alignment horizontal="center" vertical="center" wrapText="1"/>
      <protection hidden="1"/>
    </xf>
    <xf numFmtId="0" fontId="1" fillId="0" borderId="1" xfId="0" applyFont="1" applyBorder="1" applyAlignment="1" applyProtection="1">
      <alignment horizontal="center" vertical="top" wrapText="1"/>
      <protection hidden="1"/>
    </xf>
    <xf numFmtId="0" fontId="1" fillId="0" borderId="3" xfId="0" applyFont="1" applyBorder="1" applyAlignment="1" applyProtection="1">
      <alignment horizontal="center" vertical="top" wrapText="1"/>
      <protection hidden="1"/>
    </xf>
    <xf numFmtId="0" fontId="1" fillId="0" borderId="8" xfId="0" applyFont="1" applyBorder="1" applyAlignment="1" applyProtection="1">
      <alignment horizontal="center" vertical="top" wrapText="1"/>
      <protection hidden="1"/>
    </xf>
    <xf numFmtId="0" fontId="1" fillId="0" borderId="4" xfId="0" applyFont="1" applyBorder="1" applyAlignment="1" applyProtection="1">
      <alignment horizontal="center" vertical="top" wrapText="1"/>
      <protection hidden="1"/>
    </xf>
    <xf numFmtId="0" fontId="5" fillId="3" borderId="1" xfId="0" applyFont="1" applyFill="1" applyBorder="1" applyAlignment="1" applyProtection="1">
      <alignment horizontal="left" vertical="center" wrapText="1"/>
      <protection hidden="1"/>
    </xf>
    <xf numFmtId="0" fontId="5" fillId="3" borderId="1" xfId="0" applyFont="1" applyFill="1" applyBorder="1" applyAlignment="1" applyProtection="1">
      <alignment horizontal="center" vertical="center" wrapText="1"/>
      <protection hidden="1"/>
    </xf>
    <xf numFmtId="0" fontId="1" fillId="0" borderId="5" xfId="0" applyFont="1" applyBorder="1" applyAlignment="1" applyProtection="1">
      <alignment horizontal="left" vertical="center" wrapText="1"/>
      <protection hidden="1"/>
    </xf>
    <xf numFmtId="0" fontId="1" fillId="0" borderId="7" xfId="0" applyFont="1" applyBorder="1" applyAlignment="1" applyProtection="1">
      <alignment horizontal="left" vertical="center" wrapText="1"/>
      <protection hidden="1"/>
    </xf>
    <xf numFmtId="0" fontId="4" fillId="0" borderId="5" xfId="0" applyFont="1" applyBorder="1" applyAlignment="1" applyProtection="1">
      <alignment horizontal="center" vertical="center" wrapText="1"/>
      <protection hidden="1"/>
    </xf>
    <xf numFmtId="0" fontId="4" fillId="0" borderId="6" xfId="0" applyFont="1" applyBorder="1" applyAlignment="1" applyProtection="1">
      <alignment horizontal="center" vertical="center" wrapText="1"/>
      <protection hidden="1"/>
    </xf>
    <xf numFmtId="0" fontId="4" fillId="0" borderId="7" xfId="0" applyFont="1" applyBorder="1" applyAlignment="1" applyProtection="1">
      <alignment horizontal="center" vertical="center" wrapText="1"/>
      <protection hidden="1"/>
    </xf>
    <xf numFmtId="0" fontId="7" fillId="10" borderId="1" xfId="0" applyFont="1" applyFill="1" applyBorder="1" applyAlignment="1" applyProtection="1">
      <alignment horizontal="center" vertical="center"/>
      <protection hidden="1"/>
    </xf>
    <xf numFmtId="0" fontId="1" fillId="0" borderId="1" xfId="0" applyFont="1" applyBorder="1" applyAlignment="1" applyProtection="1">
      <alignment horizontal="left" vertical="center" wrapText="1"/>
      <protection hidden="1"/>
    </xf>
    <xf numFmtId="0" fontId="24" fillId="0" borderId="5" xfId="0" applyFont="1" applyBorder="1" applyAlignment="1" applyProtection="1">
      <alignment horizontal="left" vertical="center"/>
      <protection hidden="1"/>
    </xf>
    <xf numFmtId="0" fontId="24" fillId="0" borderId="7" xfId="0" applyFont="1" applyBorder="1" applyAlignment="1" applyProtection="1">
      <alignment horizontal="left" vertical="center"/>
      <protection hidden="1"/>
    </xf>
    <xf numFmtId="0" fontId="22" fillId="0" borderId="5" xfId="0" applyFont="1" applyBorder="1" applyAlignment="1" applyProtection="1">
      <alignment horizontal="left"/>
      <protection hidden="1"/>
    </xf>
    <xf numFmtId="0" fontId="22" fillId="0" borderId="6" xfId="0" applyFont="1" applyBorder="1" applyAlignment="1" applyProtection="1">
      <alignment horizontal="left"/>
      <protection hidden="1"/>
    </xf>
    <xf numFmtId="0" fontId="22" fillId="0" borderId="7" xfId="0" applyFont="1" applyBorder="1" applyAlignment="1" applyProtection="1">
      <alignment horizontal="left"/>
      <protection hidden="1"/>
    </xf>
    <xf numFmtId="2" fontId="20" fillId="0" borderId="1" xfId="0" applyNumberFormat="1" applyFont="1" applyBorder="1" applyAlignment="1" applyProtection="1">
      <alignment horizontal="center" vertical="center"/>
      <protection hidden="1"/>
    </xf>
    <xf numFmtId="0" fontId="22" fillId="0" borderId="1" xfId="0" applyFont="1" applyBorder="1" applyAlignment="1" applyProtection="1">
      <alignment horizontal="center" vertical="center"/>
      <protection hidden="1"/>
    </xf>
    <xf numFmtId="0" fontId="4" fillId="10" borderId="1" xfId="0" applyFont="1" applyFill="1" applyBorder="1" applyAlignment="1" applyProtection="1">
      <alignment horizontal="center" vertical="center" wrapText="1"/>
      <protection hidden="1"/>
    </xf>
    <xf numFmtId="0" fontId="7" fillId="10" borderId="5" xfId="0" applyFont="1" applyFill="1" applyBorder="1" applyAlignment="1" applyProtection="1">
      <alignment horizontal="left" vertical="center"/>
      <protection hidden="1"/>
    </xf>
    <xf numFmtId="0" fontId="7" fillId="10" borderId="7" xfId="0" applyFont="1" applyFill="1" applyBorder="1" applyAlignment="1" applyProtection="1">
      <alignment horizontal="left" vertical="center"/>
      <protection hidden="1"/>
    </xf>
    <xf numFmtId="0" fontId="5" fillId="3" borderId="5" xfId="0" applyFont="1" applyFill="1" applyBorder="1" applyAlignment="1" applyProtection="1">
      <alignment horizontal="center" vertical="center"/>
      <protection locked="0" hidden="1"/>
    </xf>
    <xf numFmtId="0" fontId="5" fillId="3" borderId="6" xfId="0" applyFont="1" applyFill="1" applyBorder="1" applyAlignment="1" applyProtection="1">
      <alignment horizontal="center" vertical="center"/>
      <protection locked="0" hidden="1"/>
    </xf>
    <xf numFmtId="0" fontId="5" fillId="3" borderId="7" xfId="0" applyFont="1" applyFill="1" applyBorder="1" applyAlignment="1" applyProtection="1">
      <alignment horizontal="center" vertical="center"/>
      <protection locked="0" hidden="1"/>
    </xf>
    <xf numFmtId="0" fontId="22" fillId="0" borderId="1" xfId="0" applyFont="1" applyBorder="1" applyAlignment="1" applyProtection="1">
      <alignment horizontal="left"/>
      <protection hidden="1"/>
    </xf>
    <xf numFmtId="0" fontId="21" fillId="3" borderId="5" xfId="1" applyFill="1" applyBorder="1" applyAlignment="1" applyProtection="1">
      <alignment horizontal="center" vertical="center"/>
      <protection locked="0" hidden="1"/>
    </xf>
    <xf numFmtId="0" fontId="5" fillId="0" borderId="2" xfId="0" applyFont="1" applyBorder="1" applyAlignment="1" applyProtection="1">
      <alignment horizontal="center"/>
      <protection hidden="1"/>
    </xf>
    <xf numFmtId="0" fontId="20" fillId="0" borderId="1" xfId="0" applyFont="1" applyBorder="1" applyAlignment="1" applyProtection="1">
      <alignment horizontal="center" vertical="center"/>
      <protection hidden="1"/>
    </xf>
    <xf numFmtId="0" fontId="7" fillId="3" borderId="5" xfId="0" applyFont="1" applyFill="1" applyBorder="1" applyAlignment="1" applyProtection="1">
      <alignment horizontal="left" vertical="center"/>
      <protection locked="0" hidden="1"/>
    </xf>
    <xf numFmtId="0" fontId="7" fillId="3" borderId="6" xfId="0" applyFont="1" applyFill="1" applyBorder="1" applyAlignment="1" applyProtection="1">
      <alignment horizontal="left" vertical="center"/>
      <protection locked="0" hidden="1"/>
    </xf>
    <xf numFmtId="0" fontId="7" fillId="3" borderId="7" xfId="0" applyFont="1" applyFill="1" applyBorder="1" applyAlignment="1" applyProtection="1">
      <alignment horizontal="left" vertical="center"/>
      <protection locked="0" hidden="1"/>
    </xf>
    <xf numFmtId="0" fontId="5" fillId="0" borderId="5" xfId="0" applyFont="1" applyBorder="1" applyAlignment="1">
      <alignment horizontal="center" wrapText="1"/>
    </xf>
    <xf numFmtId="0" fontId="5" fillId="0" borderId="6" xfId="0" applyFont="1" applyBorder="1" applyAlignment="1">
      <alignment horizontal="center" wrapText="1"/>
    </xf>
    <xf numFmtId="0" fontId="5" fillId="0" borderId="7" xfId="0" applyFont="1" applyBorder="1" applyAlignment="1">
      <alignment horizontal="center" wrapText="1"/>
    </xf>
    <xf numFmtId="0" fontId="1" fillId="0" borderId="3" xfId="0" applyFont="1" applyBorder="1" applyAlignment="1" applyProtection="1">
      <alignment horizontal="center" vertical="center" wrapText="1"/>
      <protection hidden="1"/>
    </xf>
    <xf numFmtId="0" fontId="1" fillId="0" borderId="8" xfId="0" applyFont="1" applyBorder="1" applyAlignment="1" applyProtection="1">
      <alignment horizontal="center" vertical="center" wrapText="1"/>
      <protection hidden="1"/>
    </xf>
    <xf numFmtId="0" fontId="1" fillId="0" borderId="4" xfId="0" applyFont="1" applyBorder="1" applyAlignment="1" applyProtection="1">
      <alignment horizontal="center" vertical="center" wrapText="1"/>
      <protection hidden="1"/>
    </xf>
    <xf numFmtId="0" fontId="3" fillId="0" borderId="1" xfId="0" applyFont="1" applyBorder="1" applyAlignment="1" applyProtection="1">
      <alignment horizontal="center" vertical="center"/>
      <protection hidden="1"/>
    </xf>
    <xf numFmtId="0" fontId="3" fillId="0" borderId="1" xfId="0" applyFont="1" applyBorder="1" applyAlignment="1" applyProtection="1">
      <alignment horizontal="center" vertical="center" wrapText="1"/>
      <protection hidden="1"/>
    </xf>
    <xf numFmtId="0" fontId="5" fillId="0" borderId="2" xfId="0" applyFont="1" applyBorder="1" applyAlignment="1">
      <alignment horizontal="center"/>
    </xf>
    <xf numFmtId="0" fontId="4" fillId="2" borderId="1" xfId="0" applyFont="1" applyFill="1" applyBorder="1" applyAlignment="1" applyProtection="1">
      <alignment horizontal="center" vertical="center" wrapText="1"/>
      <protection hidden="1"/>
    </xf>
    <xf numFmtId="0" fontId="3" fillId="5" borderId="1" xfId="0" applyFont="1" applyFill="1" applyBorder="1" applyAlignment="1" applyProtection="1">
      <alignment horizontal="center" vertical="center" wrapText="1"/>
      <protection hidden="1"/>
    </xf>
    <xf numFmtId="0" fontId="3" fillId="0" borderId="1" xfId="0" applyFont="1" applyBorder="1" applyAlignment="1" applyProtection="1">
      <alignment horizontal="left" vertical="center" wrapText="1"/>
      <protection hidden="1"/>
    </xf>
    <xf numFmtId="1" fontId="3" fillId="5" borderId="3" xfId="0" applyNumberFormat="1" applyFont="1" applyFill="1" applyBorder="1" applyAlignment="1" applyProtection="1">
      <alignment horizontal="center" vertical="center" wrapText="1"/>
      <protection hidden="1"/>
    </xf>
    <xf numFmtId="1" fontId="3" fillId="5" borderId="8" xfId="0" applyNumberFormat="1" applyFont="1" applyFill="1" applyBorder="1" applyAlignment="1" applyProtection="1">
      <alignment horizontal="center" vertical="center" wrapText="1"/>
      <protection hidden="1"/>
    </xf>
    <xf numFmtId="1" fontId="3" fillId="5" borderId="4" xfId="0" applyNumberFormat="1" applyFont="1" applyFill="1" applyBorder="1" applyAlignment="1" applyProtection="1">
      <alignment horizontal="center" vertical="center" wrapText="1"/>
      <protection hidden="1"/>
    </xf>
    <xf numFmtId="2" fontId="3" fillId="5" borderId="1" xfId="0" applyNumberFormat="1" applyFont="1" applyFill="1" applyBorder="1" applyAlignment="1" applyProtection="1">
      <alignment horizontal="center" vertical="center"/>
      <protection hidden="1"/>
    </xf>
    <xf numFmtId="2" fontId="3" fillId="5" borderId="3" xfId="0" applyNumberFormat="1" applyFont="1" applyFill="1" applyBorder="1" applyAlignment="1" applyProtection="1">
      <alignment horizontal="center" vertical="center"/>
      <protection hidden="1"/>
    </xf>
    <xf numFmtId="2" fontId="3" fillId="5" borderId="8" xfId="0" applyNumberFormat="1" applyFont="1" applyFill="1" applyBorder="1" applyAlignment="1" applyProtection="1">
      <alignment horizontal="center" vertical="center"/>
      <protection hidden="1"/>
    </xf>
    <xf numFmtId="2" fontId="3" fillId="5" borderId="4" xfId="0" applyNumberFormat="1" applyFont="1" applyFill="1" applyBorder="1" applyAlignment="1" applyProtection="1">
      <alignment horizontal="center" vertical="center"/>
      <protection hidden="1"/>
    </xf>
    <xf numFmtId="0" fontId="17" fillId="0" borderId="1" xfId="0" applyFont="1" applyBorder="1" applyAlignment="1" applyProtection="1">
      <alignment horizontal="center" vertical="center" wrapText="1"/>
      <protection hidden="1"/>
    </xf>
    <xf numFmtId="0" fontId="3" fillId="0" borderId="5" xfId="0" applyFont="1" applyBorder="1" applyAlignment="1" applyProtection="1">
      <alignment horizontal="left" vertical="center" wrapText="1"/>
      <protection hidden="1"/>
    </xf>
    <xf numFmtId="0" fontId="3" fillId="0" borderId="6" xfId="0" applyFont="1" applyBorder="1" applyAlignment="1" applyProtection="1">
      <alignment horizontal="left" vertical="center" wrapText="1"/>
      <protection hidden="1"/>
    </xf>
    <xf numFmtId="0" fontId="3" fillId="0" borderId="7" xfId="0" applyFont="1" applyBorder="1" applyAlignment="1" applyProtection="1">
      <alignment horizontal="left" vertical="center" wrapText="1"/>
      <protection hidden="1"/>
    </xf>
    <xf numFmtId="0" fontId="3" fillId="0" borderId="1" xfId="0" applyFont="1" applyBorder="1" applyAlignment="1" applyProtection="1">
      <alignment horizontal="left" vertical="center"/>
      <protection hidden="1"/>
    </xf>
    <xf numFmtId="0" fontId="3" fillId="0" borderId="1" xfId="0" applyFont="1" applyBorder="1" applyAlignment="1" applyProtection="1">
      <alignment horizontal="left"/>
      <protection hidden="1"/>
    </xf>
    <xf numFmtId="2" fontId="3" fillId="0" borderId="1" xfId="0" applyNumberFormat="1" applyFont="1" applyBorder="1" applyAlignment="1" applyProtection="1">
      <alignment horizontal="left" vertical="center" wrapText="1"/>
      <protection hidden="1"/>
    </xf>
    <xf numFmtId="0" fontId="18" fillId="0" borderId="1" xfId="0" applyFont="1" applyBorder="1" applyAlignment="1" applyProtection="1">
      <alignment horizontal="center" vertical="center"/>
      <protection hidden="1"/>
    </xf>
    <xf numFmtId="0" fontId="14" fillId="0" borderId="2" xfId="0" applyFont="1" applyBorder="1" applyAlignment="1" applyProtection="1">
      <alignment horizontal="center" vertical="center"/>
      <protection hidden="1"/>
    </xf>
    <xf numFmtId="0" fontId="8" fillId="2" borderId="1" xfId="0" applyFont="1" applyFill="1" applyBorder="1" applyAlignment="1" applyProtection="1">
      <alignment horizontal="center" vertical="center"/>
      <protection hidden="1"/>
    </xf>
    <xf numFmtId="1" fontId="2" fillId="5" borderId="3" xfId="0" applyNumberFormat="1" applyFont="1" applyFill="1" applyBorder="1" applyAlignment="1" applyProtection="1">
      <alignment horizontal="center" vertical="center"/>
      <protection hidden="1"/>
    </xf>
    <xf numFmtId="1" fontId="2" fillId="5" borderId="4" xfId="0" applyNumberFormat="1" applyFont="1" applyFill="1" applyBorder="1" applyAlignment="1" applyProtection="1">
      <alignment horizontal="center" vertical="center"/>
      <protection hidden="1"/>
    </xf>
    <xf numFmtId="1" fontId="2" fillId="5" borderId="1" xfId="0" applyNumberFormat="1" applyFont="1" applyFill="1" applyBorder="1" applyAlignment="1" applyProtection="1">
      <alignment horizontal="center" vertical="center"/>
      <protection hidden="1"/>
    </xf>
    <xf numFmtId="0" fontId="1" fillId="0" borderId="1" xfId="0" applyFont="1" applyBorder="1" applyAlignment="1" applyProtection="1">
      <alignment horizontal="left" vertical="top" wrapText="1"/>
      <protection hidden="1"/>
    </xf>
    <xf numFmtId="0" fontId="2" fillId="0" borderId="1" xfId="0" applyFont="1" applyBorder="1" applyAlignment="1" applyProtection="1">
      <alignment horizontal="left" vertical="center"/>
      <protection hidden="1"/>
    </xf>
    <xf numFmtId="0" fontId="2" fillId="0" borderId="1" xfId="0" applyFont="1" applyBorder="1" applyAlignment="1" applyProtection="1">
      <alignment horizontal="left" vertical="center" wrapText="1"/>
      <protection hidden="1"/>
    </xf>
    <xf numFmtId="0" fontId="2" fillId="0" borderId="1" xfId="0" applyFont="1" applyBorder="1" applyAlignment="1" applyProtection="1">
      <alignment horizontal="center" vertical="center" wrapText="1"/>
      <protection hidden="1"/>
    </xf>
    <xf numFmtId="0" fontId="8" fillId="0" borderId="1" xfId="0" applyFont="1" applyBorder="1" applyAlignment="1" applyProtection="1">
      <alignment horizontal="center" vertical="center" wrapText="1"/>
      <protection hidden="1"/>
    </xf>
    <xf numFmtId="0" fontId="12" fillId="0" borderId="1" xfId="0" applyFont="1" applyBorder="1" applyAlignment="1" applyProtection="1">
      <alignment horizontal="center" vertical="center" wrapText="1"/>
      <protection hidden="1"/>
    </xf>
    <xf numFmtId="0" fontId="4" fillId="0" borderId="2" xfId="0" applyFont="1" applyBorder="1" applyAlignment="1" applyProtection="1">
      <alignment horizontal="center" vertical="center" wrapText="1"/>
      <protection hidden="1"/>
    </xf>
    <xf numFmtId="0" fontId="6" fillId="2" borderId="1" xfId="0" applyFont="1" applyFill="1" applyBorder="1" applyAlignment="1" applyProtection="1">
      <alignment horizontal="center" vertical="center"/>
      <protection hidden="1"/>
    </xf>
    <xf numFmtId="0" fontId="11" fillId="0" borderId="1" xfId="0" applyFont="1" applyBorder="1" applyAlignment="1" applyProtection="1">
      <alignment horizontal="center" vertical="center" wrapText="1"/>
      <protection hidden="1"/>
    </xf>
    <xf numFmtId="2" fontId="2" fillId="5" borderId="1" xfId="0" applyNumberFormat="1" applyFont="1" applyFill="1" applyBorder="1" applyAlignment="1" applyProtection="1">
      <alignment horizontal="center" vertical="center" wrapText="1"/>
      <protection hidden="1"/>
    </xf>
    <xf numFmtId="1" fontId="2" fillId="5" borderId="1" xfId="0" applyNumberFormat="1" applyFont="1" applyFill="1" applyBorder="1" applyAlignment="1" applyProtection="1">
      <alignment horizontal="center" vertical="center" wrapText="1"/>
      <protection hidden="1"/>
    </xf>
  </cellXfs>
  <cellStyles count="2">
    <cellStyle name="Hyperlink" xfId="1" builtinId="8"/>
    <cellStyle name="Normal" xfId="0" builtinId="0"/>
  </cellStyles>
  <dxfs count="45">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
      <fill>
        <patternFill patternType="solid">
          <fgColor rgb="FFC6EFCE"/>
          <bgColor theme="9" tint="0.39991454817346722"/>
        </patternFill>
      </fill>
    </dxf>
    <dxf>
      <fill>
        <patternFill patternType="solid">
          <fgColor rgb="FFFFEB9C"/>
          <bgColor theme="7" tint="0.39991454817346722"/>
        </patternFill>
      </fill>
    </dxf>
    <dxf>
      <fill>
        <patternFill patternType="solid">
          <fgColor rgb="FFFFC7CE"/>
          <bgColor rgb="FFFF5050"/>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6.jpe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5.jpe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419101</xdr:colOff>
      <xdr:row>0</xdr:row>
      <xdr:rowOff>66675</xdr:rowOff>
    </xdr:from>
    <xdr:to>
      <xdr:col>5</xdr:col>
      <xdr:colOff>1051998</xdr:colOff>
      <xdr:row>0</xdr:row>
      <xdr:rowOff>706755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86650" y="66675"/>
          <a:ext cx="632460" cy="640080"/>
        </a:xfrm>
        <a:prstGeom prst="rect">
          <a:avLst/>
        </a:prstGeom>
      </xdr:spPr>
    </xdr:pic>
    <xdr:clientData/>
  </xdr:twoCellAnchor>
  <xdr:twoCellAnchor editAs="oneCell">
    <xdr:from>
      <xdr:col>2</xdr:col>
      <xdr:colOff>407176</xdr:colOff>
      <xdr:row>0</xdr:row>
      <xdr:rowOff>64275</xdr:rowOff>
    </xdr:from>
    <xdr:to>
      <xdr:col>4</xdr:col>
      <xdr:colOff>348337</xdr:colOff>
      <xdr:row>0</xdr:row>
      <xdr:rowOff>704355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78785" y="64135"/>
          <a:ext cx="2293620" cy="640080"/>
        </a:xfrm>
        <a:prstGeom prst="rect">
          <a:avLst/>
        </a:prstGeom>
      </xdr:spPr>
    </xdr:pic>
    <xdr:clientData/>
  </xdr:twoCellAnchor>
  <xdr:twoCellAnchor editAs="oneCell">
    <xdr:from>
      <xdr:col>5</xdr:col>
      <xdr:colOff>944218</xdr:colOff>
      <xdr:row>6</xdr:row>
      <xdr:rowOff>16565</xdr:rowOff>
    </xdr:from>
    <xdr:to>
      <xdr:col>5</xdr:col>
      <xdr:colOff>1108074</xdr:colOff>
      <xdr:row>6</xdr:row>
      <xdr:rowOff>185807</xdr:rowOff>
    </xdr:to>
    <xdr:pic macro="[0]!Routine_B_Designation">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rcRect l="16889" t="16444" r="16889" b="16222"/>
        <a:stretch>
          <a:fillRect/>
        </a:stretch>
      </xdr:blipFill>
      <xdr:spPr>
        <a:xfrm>
          <a:off x="8011160" y="1809750"/>
          <a:ext cx="163830" cy="168910"/>
        </a:xfrm>
        <a:prstGeom prst="rect">
          <a:avLst/>
        </a:prstGeom>
      </xdr:spPr>
    </xdr:pic>
    <xdr:clientData/>
  </xdr:twoCellAnchor>
  <xdr:twoCellAnchor editAs="oneCell">
    <xdr:from>
      <xdr:col>5</xdr:col>
      <xdr:colOff>952500</xdr:colOff>
      <xdr:row>7</xdr:row>
      <xdr:rowOff>16565</xdr:rowOff>
    </xdr:from>
    <xdr:to>
      <xdr:col>5</xdr:col>
      <xdr:colOff>1116356</xdr:colOff>
      <xdr:row>7</xdr:row>
      <xdr:rowOff>185807</xdr:rowOff>
    </xdr:to>
    <xdr:pic macro="[0]!Routine_B_Level">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rcRect l="16889" t="16444" r="16889" b="16222"/>
        <a:stretch>
          <a:fillRect/>
        </a:stretch>
      </xdr:blipFill>
      <xdr:spPr>
        <a:xfrm>
          <a:off x="8020050" y="2000250"/>
          <a:ext cx="163830" cy="16891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4503214</xdr:colOff>
      <xdr:row>2</xdr:row>
      <xdr:rowOff>15271</xdr:rowOff>
    </xdr:from>
    <xdr:to>
      <xdr:col>2</xdr:col>
      <xdr:colOff>4667070</xdr:colOff>
      <xdr:row>2</xdr:row>
      <xdr:rowOff>184513</xdr:rowOff>
    </xdr:to>
    <xdr:pic macro="[0]!Routine_TLR1">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4110" y="1405890"/>
          <a:ext cx="163830" cy="168910"/>
        </a:xfrm>
        <a:prstGeom prst="rect">
          <a:avLst/>
        </a:prstGeom>
      </xdr:spPr>
    </xdr:pic>
    <xdr:clientData/>
  </xdr:twoCellAnchor>
  <xdr:twoCellAnchor editAs="oneCell">
    <xdr:from>
      <xdr:col>2</xdr:col>
      <xdr:colOff>4499404</xdr:colOff>
      <xdr:row>3</xdr:row>
      <xdr:rowOff>22891</xdr:rowOff>
    </xdr:from>
    <xdr:to>
      <xdr:col>2</xdr:col>
      <xdr:colOff>4663260</xdr:colOff>
      <xdr:row>3</xdr:row>
      <xdr:rowOff>192133</xdr:rowOff>
    </xdr:to>
    <xdr:pic macro="[0]!Routine_TLR2">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0300" y="1794510"/>
          <a:ext cx="163830" cy="168910"/>
        </a:xfrm>
        <a:prstGeom prst="rect">
          <a:avLst/>
        </a:prstGeom>
      </xdr:spPr>
    </xdr:pic>
    <xdr:clientData/>
  </xdr:twoCellAnchor>
  <xdr:twoCellAnchor editAs="oneCell">
    <xdr:from>
      <xdr:col>2</xdr:col>
      <xdr:colOff>4491789</xdr:colOff>
      <xdr:row>4</xdr:row>
      <xdr:rowOff>103909</xdr:rowOff>
    </xdr:from>
    <xdr:to>
      <xdr:col>2</xdr:col>
      <xdr:colOff>4655645</xdr:colOff>
      <xdr:row>4</xdr:row>
      <xdr:rowOff>274518</xdr:rowOff>
    </xdr:to>
    <xdr:pic macro="[0]!Routine_TLR3">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72680" y="2256155"/>
          <a:ext cx="163830" cy="170815"/>
        </a:xfrm>
        <a:prstGeom prst="rect">
          <a:avLst/>
        </a:prstGeom>
      </xdr:spPr>
    </xdr:pic>
    <xdr:clientData/>
  </xdr:twoCellAnchor>
  <xdr:twoCellAnchor editAs="oneCell">
    <xdr:from>
      <xdr:col>2</xdr:col>
      <xdr:colOff>4501816</xdr:colOff>
      <xdr:row>5</xdr:row>
      <xdr:rowOff>15040</xdr:rowOff>
    </xdr:from>
    <xdr:to>
      <xdr:col>2</xdr:col>
      <xdr:colOff>4665672</xdr:colOff>
      <xdr:row>5</xdr:row>
      <xdr:rowOff>184282</xdr:rowOff>
    </xdr:to>
    <xdr:pic macro="[0]!Routine_TLR4">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2548255"/>
          <a:ext cx="163830" cy="169545"/>
        </a:xfrm>
        <a:prstGeom prst="rect">
          <a:avLst/>
        </a:prstGeom>
      </xdr:spPr>
    </xdr:pic>
    <xdr:clientData/>
  </xdr:twoCellAnchor>
  <xdr:twoCellAnchor editAs="oneCell">
    <xdr:from>
      <xdr:col>2</xdr:col>
      <xdr:colOff>4481763</xdr:colOff>
      <xdr:row>6</xdr:row>
      <xdr:rowOff>130342</xdr:rowOff>
    </xdr:from>
    <xdr:to>
      <xdr:col>2</xdr:col>
      <xdr:colOff>4645619</xdr:colOff>
      <xdr:row>6</xdr:row>
      <xdr:rowOff>299584</xdr:rowOff>
    </xdr:to>
    <xdr:pic macro="[0]!Routine_TLR5">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62520" y="2997200"/>
          <a:ext cx="163830" cy="168910"/>
        </a:xfrm>
        <a:prstGeom prst="rect">
          <a:avLst/>
        </a:prstGeom>
      </xdr:spPr>
    </xdr:pic>
    <xdr:clientData/>
  </xdr:twoCellAnchor>
  <xdr:twoCellAnchor editAs="oneCell">
    <xdr:from>
      <xdr:col>2</xdr:col>
      <xdr:colOff>4501816</xdr:colOff>
      <xdr:row>7</xdr:row>
      <xdr:rowOff>65171</xdr:rowOff>
    </xdr:from>
    <xdr:to>
      <xdr:col>2</xdr:col>
      <xdr:colOff>4665672</xdr:colOff>
      <xdr:row>7</xdr:row>
      <xdr:rowOff>234413</xdr:rowOff>
    </xdr:to>
    <xdr:pic macro="[0]!Routine_TLR6">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3312795"/>
          <a:ext cx="163830" cy="169545"/>
        </a:xfrm>
        <a:prstGeom prst="rect">
          <a:avLst/>
        </a:prstGeom>
      </xdr:spPr>
    </xdr:pic>
    <xdr:clientData/>
  </xdr:twoCellAnchor>
  <xdr:twoCellAnchor editAs="oneCell">
    <xdr:from>
      <xdr:col>2</xdr:col>
      <xdr:colOff>4501816</xdr:colOff>
      <xdr:row>8</xdr:row>
      <xdr:rowOff>90237</xdr:rowOff>
    </xdr:from>
    <xdr:to>
      <xdr:col>2</xdr:col>
      <xdr:colOff>4665672</xdr:colOff>
      <xdr:row>8</xdr:row>
      <xdr:rowOff>259479</xdr:rowOff>
    </xdr:to>
    <xdr:pic macro="[0]!Routine_TLR7">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3738245"/>
          <a:ext cx="163830" cy="168910"/>
        </a:xfrm>
        <a:prstGeom prst="rect">
          <a:avLst/>
        </a:prstGeom>
      </xdr:spPr>
    </xdr:pic>
    <xdr:clientData/>
  </xdr:twoCellAnchor>
  <xdr:twoCellAnchor editAs="oneCell">
    <xdr:from>
      <xdr:col>2</xdr:col>
      <xdr:colOff>4501815</xdr:colOff>
      <xdr:row>9</xdr:row>
      <xdr:rowOff>15040</xdr:rowOff>
    </xdr:from>
    <xdr:to>
      <xdr:col>2</xdr:col>
      <xdr:colOff>4665671</xdr:colOff>
      <xdr:row>9</xdr:row>
      <xdr:rowOff>184282</xdr:rowOff>
    </xdr:to>
    <xdr:pic macro="[0]!Routine_TLR8">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4043680"/>
          <a:ext cx="163830" cy="169545"/>
        </a:xfrm>
        <a:prstGeom prst="rect">
          <a:avLst/>
        </a:prstGeom>
      </xdr:spPr>
    </xdr:pic>
    <xdr:clientData/>
  </xdr:twoCellAnchor>
  <xdr:twoCellAnchor editAs="oneCell">
    <xdr:from>
      <xdr:col>2</xdr:col>
      <xdr:colOff>4501815</xdr:colOff>
      <xdr:row>10</xdr:row>
      <xdr:rowOff>25066</xdr:rowOff>
    </xdr:from>
    <xdr:to>
      <xdr:col>2</xdr:col>
      <xdr:colOff>4665671</xdr:colOff>
      <xdr:row>10</xdr:row>
      <xdr:rowOff>194308</xdr:rowOff>
    </xdr:to>
    <xdr:pic macro="[0]!Routine_TLR9">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4434840"/>
          <a:ext cx="163830" cy="168910"/>
        </a:xfrm>
        <a:prstGeom prst="rect">
          <a:avLst/>
        </a:prstGeom>
      </xdr:spPr>
    </xdr:pic>
    <xdr:clientData/>
  </xdr:twoCellAnchor>
  <xdr:twoCellAnchor editAs="oneCell">
    <xdr:from>
      <xdr:col>2</xdr:col>
      <xdr:colOff>4496802</xdr:colOff>
      <xdr:row>11</xdr:row>
      <xdr:rowOff>100263</xdr:rowOff>
    </xdr:from>
    <xdr:to>
      <xdr:col>2</xdr:col>
      <xdr:colOff>4660658</xdr:colOff>
      <xdr:row>11</xdr:row>
      <xdr:rowOff>269505</xdr:rowOff>
    </xdr:to>
    <xdr:pic macro="[0]!Routine_TLR10">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77760" y="5109845"/>
          <a:ext cx="163830" cy="169545"/>
        </a:xfrm>
        <a:prstGeom prst="rect">
          <a:avLst/>
        </a:prstGeom>
      </xdr:spPr>
    </xdr:pic>
    <xdr:clientData/>
  </xdr:twoCellAnchor>
  <xdr:twoCellAnchor editAs="oneCell">
    <xdr:from>
      <xdr:col>2</xdr:col>
      <xdr:colOff>4481763</xdr:colOff>
      <xdr:row>12</xdr:row>
      <xdr:rowOff>200526</xdr:rowOff>
    </xdr:from>
    <xdr:to>
      <xdr:col>2</xdr:col>
      <xdr:colOff>4645619</xdr:colOff>
      <xdr:row>12</xdr:row>
      <xdr:rowOff>369768</xdr:rowOff>
    </xdr:to>
    <xdr:pic macro="[0]!Routine_TLR11">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62520" y="5610225"/>
          <a:ext cx="163830" cy="169545"/>
        </a:xfrm>
        <a:prstGeom prst="rect">
          <a:avLst/>
        </a:prstGeom>
      </xdr:spPr>
    </xdr:pic>
    <xdr:clientData/>
  </xdr:twoCellAnchor>
  <xdr:twoCellAnchor editAs="oneCell">
    <xdr:from>
      <xdr:col>2</xdr:col>
      <xdr:colOff>4496802</xdr:colOff>
      <xdr:row>13</xdr:row>
      <xdr:rowOff>20054</xdr:rowOff>
    </xdr:from>
    <xdr:to>
      <xdr:col>2</xdr:col>
      <xdr:colOff>4660658</xdr:colOff>
      <xdr:row>13</xdr:row>
      <xdr:rowOff>189296</xdr:rowOff>
    </xdr:to>
    <xdr:pic macro="[0]!Routine_TLR12">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77760" y="5829935"/>
          <a:ext cx="163830" cy="169545"/>
        </a:xfrm>
        <a:prstGeom prst="rect">
          <a:avLst/>
        </a:prstGeom>
      </xdr:spPr>
    </xdr:pic>
    <xdr:clientData/>
  </xdr:twoCellAnchor>
  <xdr:twoCellAnchor editAs="oneCell">
    <xdr:from>
      <xdr:col>2</xdr:col>
      <xdr:colOff>4505086</xdr:colOff>
      <xdr:row>33</xdr:row>
      <xdr:rowOff>16999</xdr:rowOff>
    </xdr:from>
    <xdr:to>
      <xdr:col>2</xdr:col>
      <xdr:colOff>4668942</xdr:colOff>
      <xdr:row>33</xdr:row>
      <xdr:rowOff>183318</xdr:rowOff>
    </xdr:to>
    <xdr:pic macro="[0]!Routine_TLR27">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6015" y="13256260"/>
          <a:ext cx="163830" cy="166370"/>
        </a:xfrm>
        <a:prstGeom prst="rect">
          <a:avLst/>
        </a:prstGeom>
      </xdr:spPr>
    </xdr:pic>
    <xdr:clientData/>
  </xdr:twoCellAnchor>
  <xdr:twoCellAnchor editAs="oneCell">
    <xdr:from>
      <xdr:col>2</xdr:col>
      <xdr:colOff>4485033</xdr:colOff>
      <xdr:row>34</xdr:row>
      <xdr:rowOff>21821</xdr:rowOff>
    </xdr:from>
    <xdr:to>
      <xdr:col>2</xdr:col>
      <xdr:colOff>4648889</xdr:colOff>
      <xdr:row>34</xdr:row>
      <xdr:rowOff>191063</xdr:rowOff>
    </xdr:to>
    <xdr:pic macro="[0]!Routine_TLR28">
      <xdr:nvPicPr>
        <xdr:cNvPr id="62" name="Pictur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66330" y="13642340"/>
          <a:ext cx="163830" cy="168910"/>
        </a:xfrm>
        <a:prstGeom prst="rect">
          <a:avLst/>
        </a:prstGeom>
      </xdr:spPr>
    </xdr:pic>
    <xdr:clientData/>
  </xdr:twoCellAnchor>
  <xdr:twoCellAnchor editAs="oneCell">
    <xdr:from>
      <xdr:col>2</xdr:col>
      <xdr:colOff>4495800</xdr:colOff>
      <xdr:row>14</xdr:row>
      <xdr:rowOff>19050</xdr:rowOff>
    </xdr:from>
    <xdr:to>
      <xdr:col>2</xdr:col>
      <xdr:colOff>4659656</xdr:colOff>
      <xdr:row>14</xdr:row>
      <xdr:rowOff>188292</xdr:rowOff>
    </xdr:to>
    <xdr:pic macro="[0]!Routine_TLR1_0">
      <xdr:nvPicPr>
        <xdr:cNvPr id="78" name="Picture 77">
          <a:extLst>
            <a:ext uri="{FF2B5EF4-FFF2-40B4-BE49-F238E27FC236}">
              <a16:creationId xmlns:a16="http://schemas.microsoft.com/office/drawing/2014/main" id="{00000000-0008-0000-0100-00004E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77125" y="6210300"/>
          <a:ext cx="163830" cy="168910"/>
        </a:xfrm>
        <a:prstGeom prst="rect">
          <a:avLst/>
        </a:prstGeom>
      </xdr:spPr>
    </xdr:pic>
    <xdr:clientData/>
  </xdr:twoCellAnchor>
  <xdr:twoCellAnchor editAs="oneCell">
    <xdr:from>
      <xdr:col>2</xdr:col>
      <xdr:colOff>4501662</xdr:colOff>
      <xdr:row>15</xdr:row>
      <xdr:rowOff>24912</xdr:rowOff>
    </xdr:from>
    <xdr:to>
      <xdr:col>2</xdr:col>
      <xdr:colOff>4663320</xdr:colOff>
      <xdr:row>15</xdr:row>
      <xdr:rowOff>191956</xdr:rowOff>
    </xdr:to>
    <xdr:pic macro="[0]!Routine_TLR1_0">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6597015"/>
          <a:ext cx="161290" cy="167005"/>
        </a:xfrm>
        <a:prstGeom prst="rect">
          <a:avLst/>
        </a:prstGeom>
      </xdr:spPr>
    </xdr:pic>
    <xdr:clientData/>
  </xdr:twoCellAnchor>
  <xdr:oneCellAnchor>
    <xdr:from>
      <xdr:col>2</xdr:col>
      <xdr:colOff>4501662</xdr:colOff>
      <xdr:row>16</xdr:row>
      <xdr:rowOff>24912</xdr:rowOff>
    </xdr:from>
    <xdr:ext cx="161658" cy="167044"/>
    <xdr:pic macro="[0]!Routine_TLR1_0">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6978015"/>
          <a:ext cx="161290" cy="167005"/>
        </a:xfrm>
        <a:prstGeom prst="rect">
          <a:avLst/>
        </a:prstGeom>
      </xdr:spPr>
    </xdr:pic>
    <xdr:clientData/>
  </xdr:oneCellAnchor>
  <xdr:oneCellAnchor>
    <xdr:from>
      <xdr:col>2</xdr:col>
      <xdr:colOff>4503214</xdr:colOff>
      <xdr:row>18</xdr:row>
      <xdr:rowOff>15271</xdr:rowOff>
    </xdr:from>
    <xdr:ext cx="163856" cy="169242"/>
    <xdr:pic macro="[0]!Routine_TLR1">
      <xdr:nvPicPr>
        <xdr:cNvPr id="76" name="Picture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4110" y="7539990"/>
          <a:ext cx="163830" cy="168910"/>
        </a:xfrm>
        <a:prstGeom prst="rect">
          <a:avLst/>
        </a:prstGeom>
      </xdr:spPr>
    </xdr:pic>
    <xdr:clientData/>
  </xdr:oneCellAnchor>
  <xdr:oneCellAnchor>
    <xdr:from>
      <xdr:col>2</xdr:col>
      <xdr:colOff>4499404</xdr:colOff>
      <xdr:row>19</xdr:row>
      <xdr:rowOff>22891</xdr:rowOff>
    </xdr:from>
    <xdr:ext cx="163856" cy="169242"/>
    <xdr:pic macro="[0]!Routine_TLR2">
      <xdr:nvPicPr>
        <xdr:cNvPr id="77" name="Picture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0300" y="7928610"/>
          <a:ext cx="163830" cy="168910"/>
        </a:xfrm>
        <a:prstGeom prst="rect">
          <a:avLst/>
        </a:prstGeom>
      </xdr:spPr>
    </xdr:pic>
    <xdr:clientData/>
  </xdr:oneCellAnchor>
  <xdr:oneCellAnchor>
    <xdr:from>
      <xdr:col>2</xdr:col>
      <xdr:colOff>4500072</xdr:colOff>
      <xdr:row>20</xdr:row>
      <xdr:rowOff>12796</xdr:rowOff>
    </xdr:from>
    <xdr:ext cx="163856" cy="170609"/>
    <xdr:pic macro="[0]!Routine_TLR3">
      <xdr:nvPicPr>
        <xdr:cNvPr id="79" name="Picture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0935" y="8299450"/>
          <a:ext cx="163830" cy="170180"/>
        </a:xfrm>
        <a:prstGeom prst="rect">
          <a:avLst/>
        </a:prstGeom>
      </xdr:spPr>
    </xdr:pic>
    <xdr:clientData/>
  </xdr:oneCellAnchor>
  <xdr:oneCellAnchor>
    <xdr:from>
      <xdr:col>2</xdr:col>
      <xdr:colOff>4501816</xdr:colOff>
      <xdr:row>21</xdr:row>
      <xdr:rowOff>15040</xdr:rowOff>
    </xdr:from>
    <xdr:ext cx="163856" cy="169242"/>
    <xdr:pic macro="[0]!Routine_TLR4">
      <xdr:nvPicPr>
        <xdr:cNvPr id="80" name="Picture 79">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8682355"/>
          <a:ext cx="163830" cy="169545"/>
        </a:xfrm>
        <a:prstGeom prst="rect">
          <a:avLst/>
        </a:prstGeom>
      </xdr:spPr>
    </xdr:pic>
    <xdr:clientData/>
  </xdr:oneCellAnchor>
  <xdr:oneCellAnchor>
    <xdr:from>
      <xdr:col>2</xdr:col>
      <xdr:colOff>4481763</xdr:colOff>
      <xdr:row>22</xdr:row>
      <xdr:rowOff>130342</xdr:rowOff>
    </xdr:from>
    <xdr:ext cx="163856" cy="169242"/>
    <xdr:pic macro="[0]!Routine_TLR5">
      <xdr:nvPicPr>
        <xdr:cNvPr id="81" name="Picture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62520" y="9178925"/>
          <a:ext cx="163830" cy="168910"/>
        </a:xfrm>
        <a:prstGeom prst="rect">
          <a:avLst/>
        </a:prstGeom>
      </xdr:spPr>
    </xdr:pic>
    <xdr:clientData/>
  </xdr:oneCellAnchor>
  <xdr:oneCellAnchor>
    <xdr:from>
      <xdr:col>2</xdr:col>
      <xdr:colOff>4485250</xdr:colOff>
      <xdr:row>23</xdr:row>
      <xdr:rowOff>197699</xdr:rowOff>
    </xdr:from>
    <xdr:ext cx="163856" cy="169242"/>
    <xdr:pic macro="[0]!Routine_TLR6">
      <xdr:nvPicPr>
        <xdr:cNvPr id="82" name="Picture 81">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66330" y="9627235"/>
          <a:ext cx="163830" cy="168910"/>
        </a:xfrm>
        <a:prstGeom prst="rect">
          <a:avLst/>
        </a:prstGeom>
      </xdr:spPr>
    </xdr:pic>
    <xdr:clientData/>
  </xdr:oneCellAnchor>
  <xdr:oneCellAnchor>
    <xdr:from>
      <xdr:col>2</xdr:col>
      <xdr:colOff>4501816</xdr:colOff>
      <xdr:row>24</xdr:row>
      <xdr:rowOff>15690</xdr:rowOff>
    </xdr:from>
    <xdr:ext cx="163856" cy="169242"/>
    <xdr:pic macro="[0]!Routine_TLR7">
      <xdr:nvPicPr>
        <xdr:cNvPr id="83" name="Picture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9825990"/>
          <a:ext cx="163830" cy="169545"/>
        </a:xfrm>
        <a:prstGeom prst="rect">
          <a:avLst/>
        </a:prstGeom>
      </xdr:spPr>
    </xdr:pic>
    <xdr:clientData/>
  </xdr:oneCellAnchor>
  <xdr:oneCellAnchor>
    <xdr:from>
      <xdr:col>2</xdr:col>
      <xdr:colOff>4501815</xdr:colOff>
      <xdr:row>25</xdr:row>
      <xdr:rowOff>15040</xdr:rowOff>
    </xdr:from>
    <xdr:ext cx="163856" cy="169242"/>
    <xdr:pic macro="[0]!Routine_TLR8">
      <xdr:nvPicPr>
        <xdr:cNvPr id="84" name="Picture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10206355"/>
          <a:ext cx="163830" cy="169545"/>
        </a:xfrm>
        <a:prstGeom prst="rect">
          <a:avLst/>
        </a:prstGeom>
      </xdr:spPr>
    </xdr:pic>
    <xdr:clientData/>
  </xdr:oneCellAnchor>
  <xdr:oneCellAnchor>
    <xdr:from>
      <xdr:col>2</xdr:col>
      <xdr:colOff>4501815</xdr:colOff>
      <xdr:row>26</xdr:row>
      <xdr:rowOff>25066</xdr:rowOff>
    </xdr:from>
    <xdr:ext cx="163856" cy="169242"/>
    <xdr:pic macro="[0]!Routine_TLR9">
      <xdr:nvPicPr>
        <xdr:cNvPr id="85" name="Picture 84">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10597515"/>
          <a:ext cx="163830" cy="168910"/>
        </a:xfrm>
        <a:prstGeom prst="rect">
          <a:avLst/>
        </a:prstGeom>
      </xdr:spPr>
    </xdr:pic>
    <xdr:clientData/>
  </xdr:oneCellAnchor>
  <xdr:oneCellAnchor>
    <xdr:from>
      <xdr:col>2</xdr:col>
      <xdr:colOff>4496802</xdr:colOff>
      <xdr:row>27</xdr:row>
      <xdr:rowOff>100263</xdr:rowOff>
    </xdr:from>
    <xdr:ext cx="163856" cy="169242"/>
    <xdr:pic macro="[0]!Routine_TLR10">
      <xdr:nvPicPr>
        <xdr:cNvPr id="86" name="Picture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77760" y="11053445"/>
          <a:ext cx="163830" cy="169545"/>
        </a:xfrm>
        <a:prstGeom prst="rect">
          <a:avLst/>
        </a:prstGeom>
      </xdr:spPr>
    </xdr:pic>
    <xdr:clientData/>
  </xdr:oneCellAnchor>
  <xdr:oneCellAnchor>
    <xdr:from>
      <xdr:col>2</xdr:col>
      <xdr:colOff>4481763</xdr:colOff>
      <xdr:row>28</xdr:row>
      <xdr:rowOff>200526</xdr:rowOff>
    </xdr:from>
    <xdr:ext cx="163856" cy="169242"/>
    <xdr:pic macro="[0]!Routine_TLR11">
      <xdr:nvPicPr>
        <xdr:cNvPr id="87" name="Picture 86">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62520" y="11534775"/>
          <a:ext cx="163830" cy="169545"/>
        </a:xfrm>
        <a:prstGeom prst="rect">
          <a:avLst/>
        </a:prstGeom>
      </xdr:spPr>
    </xdr:pic>
    <xdr:clientData/>
  </xdr:oneCellAnchor>
  <xdr:oneCellAnchor>
    <xdr:from>
      <xdr:col>2</xdr:col>
      <xdr:colOff>4496802</xdr:colOff>
      <xdr:row>29</xdr:row>
      <xdr:rowOff>20054</xdr:rowOff>
    </xdr:from>
    <xdr:ext cx="163856" cy="169242"/>
    <xdr:pic macro="[0]!Routine_TLR12">
      <xdr:nvPicPr>
        <xdr:cNvPr id="88" name="Picture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77760" y="11735435"/>
          <a:ext cx="163830" cy="169545"/>
        </a:xfrm>
        <a:prstGeom prst="rect">
          <a:avLst/>
        </a:prstGeom>
      </xdr:spPr>
    </xdr:pic>
    <xdr:clientData/>
  </xdr:oneCellAnchor>
  <xdr:oneCellAnchor>
    <xdr:from>
      <xdr:col>2</xdr:col>
      <xdr:colOff>4495800</xdr:colOff>
      <xdr:row>30</xdr:row>
      <xdr:rowOff>19050</xdr:rowOff>
    </xdr:from>
    <xdr:ext cx="163856" cy="169242"/>
    <xdr:pic macro="[0]!Routine_TLR1_0">
      <xdr:nvPicPr>
        <xdr:cNvPr id="89" name="Picture 88">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77125" y="12115800"/>
          <a:ext cx="163830" cy="168910"/>
        </a:xfrm>
        <a:prstGeom prst="rect">
          <a:avLst/>
        </a:prstGeom>
      </xdr:spPr>
    </xdr:pic>
    <xdr:clientData/>
  </xdr:oneCellAnchor>
  <xdr:oneCellAnchor>
    <xdr:from>
      <xdr:col>2</xdr:col>
      <xdr:colOff>4501662</xdr:colOff>
      <xdr:row>31</xdr:row>
      <xdr:rowOff>24912</xdr:rowOff>
    </xdr:from>
    <xdr:ext cx="161658" cy="167044"/>
    <xdr:pic macro="[0]!Routine_TLR1_0">
      <xdr:nvPicPr>
        <xdr:cNvPr id="90" name="Picture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12502515"/>
          <a:ext cx="161290" cy="167005"/>
        </a:xfrm>
        <a:prstGeom prst="rect">
          <a:avLst/>
        </a:prstGeom>
      </xdr:spPr>
    </xdr:pic>
    <xdr:clientData/>
  </xdr:oneCellAnchor>
  <xdr:oneCellAnchor>
    <xdr:from>
      <xdr:col>2</xdr:col>
      <xdr:colOff>4501662</xdr:colOff>
      <xdr:row>32</xdr:row>
      <xdr:rowOff>24912</xdr:rowOff>
    </xdr:from>
    <xdr:ext cx="161658" cy="167044"/>
    <xdr:pic macro="[0]!Routine_TLR1_0">
      <xdr:nvPicPr>
        <xdr:cNvPr id="91" name="Picture 90">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482840" y="12883515"/>
          <a:ext cx="161290" cy="167005"/>
        </a:xfrm>
        <a:prstGeom prst="rect">
          <a:avLst/>
        </a:prstGeom>
      </xdr:spPr>
    </xdr:pic>
    <xdr:clientData/>
  </xdr:oneCellAnchor>
  <xdr:twoCellAnchor editAs="oneCell">
    <xdr:from>
      <xdr:col>2</xdr:col>
      <xdr:colOff>2088697</xdr:colOff>
      <xdr:row>0</xdr:row>
      <xdr:rowOff>91167</xdr:rowOff>
    </xdr:from>
    <xdr:to>
      <xdr:col>3</xdr:col>
      <xdr:colOff>353558</xdr:colOff>
      <xdr:row>0</xdr:row>
      <xdr:rowOff>914127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69840" y="90805"/>
          <a:ext cx="2941320" cy="822960"/>
        </a:xfrm>
        <a:prstGeom prst="rect">
          <a:avLst/>
        </a:prstGeom>
      </xdr:spPr>
    </xdr:pic>
    <xdr:clientData/>
  </xdr:twoCellAnchor>
  <xdr:twoCellAnchor editAs="oneCell">
    <xdr:from>
      <xdr:col>7</xdr:col>
      <xdr:colOff>1007252</xdr:colOff>
      <xdr:row>0</xdr:row>
      <xdr:rowOff>95570</xdr:rowOff>
    </xdr:from>
    <xdr:to>
      <xdr:col>7</xdr:col>
      <xdr:colOff>1820977</xdr:colOff>
      <xdr:row>0</xdr:row>
      <xdr:rowOff>918530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141835" y="95250"/>
          <a:ext cx="813435" cy="8229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1638437</xdr:colOff>
      <xdr:row>2</xdr:row>
      <xdr:rowOff>183229</xdr:rowOff>
    </xdr:from>
    <xdr:to>
      <xdr:col>3</xdr:col>
      <xdr:colOff>1802293</xdr:colOff>
      <xdr:row>2</xdr:row>
      <xdr:rowOff>352471</xdr:rowOff>
    </xdr:to>
    <xdr:pic macro="[0]!Routine_R1">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286500" y="1640205"/>
          <a:ext cx="163830" cy="169545"/>
        </a:xfrm>
        <a:prstGeom prst="rect">
          <a:avLst/>
        </a:prstGeom>
      </xdr:spPr>
    </xdr:pic>
    <xdr:clientData/>
  </xdr:twoCellAnchor>
  <xdr:twoCellAnchor editAs="oneCell">
    <xdr:from>
      <xdr:col>3</xdr:col>
      <xdr:colOff>1657073</xdr:colOff>
      <xdr:row>3</xdr:row>
      <xdr:rowOff>373729</xdr:rowOff>
    </xdr:from>
    <xdr:to>
      <xdr:col>3</xdr:col>
      <xdr:colOff>1820929</xdr:colOff>
      <xdr:row>3</xdr:row>
      <xdr:rowOff>542971</xdr:rowOff>
    </xdr:to>
    <xdr:pic macro="[0]!Routine_R2">
      <xdr:nvPicPr>
        <xdr:cNvPr id="54" name="Picture 53">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4915" y="2211705"/>
          <a:ext cx="163830" cy="169545"/>
        </a:xfrm>
        <a:prstGeom prst="rect">
          <a:avLst/>
        </a:prstGeom>
      </xdr:spPr>
    </xdr:pic>
    <xdr:clientData/>
  </xdr:twoCellAnchor>
  <xdr:twoCellAnchor editAs="oneCell">
    <xdr:from>
      <xdr:col>3</xdr:col>
      <xdr:colOff>1648239</xdr:colOff>
      <xdr:row>4</xdr:row>
      <xdr:rowOff>381000</xdr:rowOff>
    </xdr:from>
    <xdr:to>
      <xdr:col>3</xdr:col>
      <xdr:colOff>1812095</xdr:colOff>
      <xdr:row>4</xdr:row>
      <xdr:rowOff>550242</xdr:rowOff>
    </xdr:to>
    <xdr:pic macro="[0]!Routine_R2_1">
      <xdr:nvPicPr>
        <xdr:cNvPr id="55" name="Picture 54">
          <a:extLst>
            <a:ext uri="{FF2B5EF4-FFF2-40B4-BE49-F238E27FC236}">
              <a16:creationId xmlns:a16="http://schemas.microsoft.com/office/drawing/2014/main" id="{00000000-0008-0000-0200-000037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296025" y="2781300"/>
          <a:ext cx="163830" cy="168910"/>
        </a:xfrm>
        <a:prstGeom prst="rect">
          <a:avLst/>
        </a:prstGeom>
      </xdr:spPr>
    </xdr:pic>
    <xdr:clientData/>
  </xdr:twoCellAnchor>
  <xdr:twoCellAnchor editAs="oneCell">
    <xdr:from>
      <xdr:col>3</xdr:col>
      <xdr:colOff>1656522</xdr:colOff>
      <xdr:row>5</xdr:row>
      <xdr:rowOff>24848</xdr:rowOff>
    </xdr:from>
    <xdr:to>
      <xdr:col>3</xdr:col>
      <xdr:colOff>1820378</xdr:colOff>
      <xdr:row>5</xdr:row>
      <xdr:rowOff>194090</xdr:rowOff>
    </xdr:to>
    <xdr:pic macro="[0]!Routine_R1">
      <xdr:nvPicPr>
        <xdr:cNvPr id="56" name="Picture 55">
          <a:extLst>
            <a:ext uri="{FF2B5EF4-FFF2-40B4-BE49-F238E27FC236}">
              <a16:creationId xmlns:a16="http://schemas.microsoft.com/office/drawing/2014/main" id="{00000000-0008-0000-0200-000038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4280" y="2987040"/>
          <a:ext cx="163830" cy="168910"/>
        </a:xfrm>
        <a:prstGeom prst="rect">
          <a:avLst/>
        </a:prstGeom>
      </xdr:spPr>
    </xdr:pic>
    <xdr:clientData/>
  </xdr:twoCellAnchor>
  <xdr:twoCellAnchor editAs="oneCell">
    <xdr:from>
      <xdr:col>3</xdr:col>
      <xdr:colOff>1669381</xdr:colOff>
      <xdr:row>6</xdr:row>
      <xdr:rowOff>20052</xdr:rowOff>
    </xdr:from>
    <xdr:to>
      <xdr:col>3</xdr:col>
      <xdr:colOff>1833237</xdr:colOff>
      <xdr:row>6</xdr:row>
      <xdr:rowOff>189294</xdr:rowOff>
    </xdr:to>
    <xdr:pic macro="[0]!Routine_R2">
      <xdr:nvPicPr>
        <xdr:cNvPr id="58" name="Picture 57">
          <a:extLst>
            <a:ext uri="{FF2B5EF4-FFF2-40B4-BE49-F238E27FC236}">
              <a16:creationId xmlns:a16="http://schemas.microsoft.com/office/drawing/2014/main" id="{00000000-0008-0000-0200-00003A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6980" y="3362960"/>
          <a:ext cx="163830" cy="169545"/>
        </a:xfrm>
        <a:prstGeom prst="rect">
          <a:avLst/>
        </a:prstGeom>
      </xdr:spPr>
    </xdr:pic>
    <xdr:clientData/>
  </xdr:twoCellAnchor>
  <xdr:twoCellAnchor editAs="oneCell">
    <xdr:from>
      <xdr:col>3</xdr:col>
      <xdr:colOff>1676399</xdr:colOff>
      <xdr:row>7</xdr:row>
      <xdr:rowOff>17045</xdr:rowOff>
    </xdr:from>
    <xdr:to>
      <xdr:col>3</xdr:col>
      <xdr:colOff>1840255</xdr:colOff>
      <xdr:row>7</xdr:row>
      <xdr:rowOff>186287</xdr:rowOff>
    </xdr:to>
    <xdr:pic macro="[0]!Routine_R2_1">
      <xdr:nvPicPr>
        <xdr:cNvPr id="59" name="Picture 58">
          <a:extLst>
            <a:ext uri="{FF2B5EF4-FFF2-40B4-BE49-F238E27FC236}">
              <a16:creationId xmlns:a16="http://schemas.microsoft.com/office/drawing/2014/main" id="{00000000-0008-0000-0200-00003B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3965" y="3702685"/>
          <a:ext cx="164465" cy="169545"/>
        </a:xfrm>
        <a:prstGeom prst="rect">
          <a:avLst/>
        </a:prstGeom>
      </xdr:spPr>
    </xdr:pic>
    <xdr:clientData/>
  </xdr:twoCellAnchor>
  <xdr:twoCellAnchor editAs="oneCell">
    <xdr:from>
      <xdr:col>3</xdr:col>
      <xdr:colOff>1654560</xdr:colOff>
      <xdr:row>8</xdr:row>
      <xdr:rowOff>147560</xdr:rowOff>
    </xdr:from>
    <xdr:to>
      <xdr:col>3</xdr:col>
      <xdr:colOff>1818416</xdr:colOff>
      <xdr:row>8</xdr:row>
      <xdr:rowOff>316802</xdr:rowOff>
    </xdr:to>
    <xdr:pic macro="[0]!Routine_R3">
      <xdr:nvPicPr>
        <xdr:cNvPr id="60" name="Picture 59">
          <a:extLst>
            <a:ext uri="{FF2B5EF4-FFF2-40B4-BE49-F238E27FC236}">
              <a16:creationId xmlns:a16="http://schemas.microsoft.com/office/drawing/2014/main" id="{00000000-0008-0000-0200-00003C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2375" y="4224020"/>
          <a:ext cx="163830" cy="168910"/>
        </a:xfrm>
        <a:prstGeom prst="rect">
          <a:avLst/>
        </a:prstGeom>
      </xdr:spPr>
    </xdr:pic>
    <xdr:clientData/>
  </xdr:twoCellAnchor>
  <xdr:twoCellAnchor editAs="oneCell">
    <xdr:from>
      <xdr:col>3</xdr:col>
      <xdr:colOff>1670337</xdr:colOff>
      <xdr:row>9</xdr:row>
      <xdr:rowOff>142230</xdr:rowOff>
    </xdr:from>
    <xdr:to>
      <xdr:col>3</xdr:col>
      <xdr:colOff>1834193</xdr:colOff>
      <xdr:row>9</xdr:row>
      <xdr:rowOff>311472</xdr:rowOff>
    </xdr:to>
    <xdr:pic macro="[0]!Routine_R4">
      <xdr:nvPicPr>
        <xdr:cNvPr id="61" name="Picture 60">
          <a:extLst>
            <a:ext uri="{FF2B5EF4-FFF2-40B4-BE49-F238E27FC236}">
              <a16:creationId xmlns:a16="http://schemas.microsoft.com/office/drawing/2014/main" id="{00000000-0008-0000-0200-00003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8250" y="4561205"/>
          <a:ext cx="163830" cy="169545"/>
        </a:xfrm>
        <a:prstGeom prst="rect">
          <a:avLst/>
        </a:prstGeom>
      </xdr:spPr>
    </xdr:pic>
    <xdr:clientData/>
  </xdr:twoCellAnchor>
  <xdr:twoCellAnchor editAs="oneCell">
    <xdr:from>
      <xdr:col>3</xdr:col>
      <xdr:colOff>1679407</xdr:colOff>
      <xdr:row>10</xdr:row>
      <xdr:rowOff>20052</xdr:rowOff>
    </xdr:from>
    <xdr:to>
      <xdr:col>3</xdr:col>
      <xdr:colOff>1843263</xdr:colOff>
      <xdr:row>10</xdr:row>
      <xdr:rowOff>189294</xdr:rowOff>
    </xdr:to>
    <xdr:pic macro="[0]!Routine_R5">
      <xdr:nvPicPr>
        <xdr:cNvPr id="62" name="Picture 61">
          <a:extLst>
            <a:ext uri="{FF2B5EF4-FFF2-40B4-BE49-F238E27FC236}">
              <a16:creationId xmlns:a16="http://schemas.microsoft.com/office/drawing/2014/main" id="{00000000-0008-0000-0200-00003E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7140" y="4772660"/>
          <a:ext cx="163830" cy="169545"/>
        </a:xfrm>
        <a:prstGeom prst="rect">
          <a:avLst/>
        </a:prstGeom>
      </xdr:spPr>
    </xdr:pic>
    <xdr:clientData/>
  </xdr:twoCellAnchor>
  <xdr:twoCellAnchor editAs="oneCell">
    <xdr:from>
      <xdr:col>3</xdr:col>
      <xdr:colOff>1684421</xdr:colOff>
      <xdr:row>11</xdr:row>
      <xdr:rowOff>10026</xdr:rowOff>
    </xdr:from>
    <xdr:to>
      <xdr:col>4</xdr:col>
      <xdr:colOff>2808</xdr:colOff>
      <xdr:row>11</xdr:row>
      <xdr:rowOff>179268</xdr:rowOff>
    </xdr:to>
    <xdr:pic macro="[0]!Routine_R6">
      <xdr:nvPicPr>
        <xdr:cNvPr id="63" name="Picture 62">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32220" y="5143500"/>
          <a:ext cx="166370" cy="169545"/>
        </a:xfrm>
        <a:prstGeom prst="rect">
          <a:avLst/>
        </a:prstGeom>
      </xdr:spPr>
    </xdr:pic>
    <xdr:clientData/>
  </xdr:twoCellAnchor>
  <xdr:twoCellAnchor editAs="oneCell">
    <xdr:from>
      <xdr:col>3</xdr:col>
      <xdr:colOff>1679407</xdr:colOff>
      <xdr:row>12</xdr:row>
      <xdr:rowOff>10026</xdr:rowOff>
    </xdr:from>
    <xdr:to>
      <xdr:col>3</xdr:col>
      <xdr:colOff>1843263</xdr:colOff>
      <xdr:row>12</xdr:row>
      <xdr:rowOff>171648</xdr:rowOff>
    </xdr:to>
    <xdr:pic macro="[0]!Routine_R8">
      <xdr:nvPicPr>
        <xdr:cNvPr id="64" name="Picture 63">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7140" y="5524500"/>
          <a:ext cx="163830" cy="161925"/>
        </a:xfrm>
        <a:prstGeom prst="rect">
          <a:avLst/>
        </a:prstGeom>
      </xdr:spPr>
    </xdr:pic>
    <xdr:clientData/>
  </xdr:twoCellAnchor>
  <xdr:twoCellAnchor editAs="oneCell">
    <xdr:from>
      <xdr:col>3</xdr:col>
      <xdr:colOff>1674394</xdr:colOff>
      <xdr:row>13</xdr:row>
      <xdr:rowOff>15039</xdr:rowOff>
    </xdr:from>
    <xdr:to>
      <xdr:col>3</xdr:col>
      <xdr:colOff>1838250</xdr:colOff>
      <xdr:row>13</xdr:row>
      <xdr:rowOff>194883</xdr:rowOff>
    </xdr:to>
    <xdr:pic macro="[0]!Routine_R9">
      <xdr:nvPicPr>
        <xdr:cNvPr id="65" name="Picture 64">
          <a:extLst>
            <a:ext uri="{FF2B5EF4-FFF2-40B4-BE49-F238E27FC236}">
              <a16:creationId xmlns:a16="http://schemas.microsoft.com/office/drawing/2014/main" id="{00000000-0008-0000-0200-000041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2060" y="5910580"/>
          <a:ext cx="163830" cy="179705"/>
        </a:xfrm>
        <a:prstGeom prst="rect">
          <a:avLst/>
        </a:prstGeom>
      </xdr:spPr>
    </xdr:pic>
    <xdr:clientData/>
  </xdr:twoCellAnchor>
  <xdr:twoCellAnchor editAs="oneCell">
    <xdr:from>
      <xdr:col>3</xdr:col>
      <xdr:colOff>1669381</xdr:colOff>
      <xdr:row>14</xdr:row>
      <xdr:rowOff>15039</xdr:rowOff>
    </xdr:from>
    <xdr:to>
      <xdr:col>3</xdr:col>
      <xdr:colOff>1833237</xdr:colOff>
      <xdr:row>14</xdr:row>
      <xdr:rowOff>184281</xdr:rowOff>
    </xdr:to>
    <xdr:pic macro="[0]!Routine_1R">
      <xdr:nvPicPr>
        <xdr:cNvPr id="66" name="Picture 65">
          <a:extLst>
            <a:ext uri="{FF2B5EF4-FFF2-40B4-BE49-F238E27FC236}">
              <a16:creationId xmlns:a16="http://schemas.microsoft.com/office/drawing/2014/main" id="{00000000-0008-0000-0200-000042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6980" y="6291580"/>
          <a:ext cx="163830" cy="169545"/>
        </a:xfrm>
        <a:prstGeom prst="rect">
          <a:avLst/>
        </a:prstGeom>
      </xdr:spPr>
    </xdr:pic>
    <xdr:clientData/>
  </xdr:twoCellAnchor>
  <xdr:twoCellAnchor editAs="oneCell">
    <xdr:from>
      <xdr:col>3</xdr:col>
      <xdr:colOff>1669381</xdr:colOff>
      <xdr:row>20</xdr:row>
      <xdr:rowOff>15039</xdr:rowOff>
    </xdr:from>
    <xdr:to>
      <xdr:col>3</xdr:col>
      <xdr:colOff>1833237</xdr:colOff>
      <xdr:row>20</xdr:row>
      <xdr:rowOff>184281</xdr:rowOff>
    </xdr:to>
    <xdr:pic macro="[0]!Routine_R10">
      <xdr:nvPicPr>
        <xdr:cNvPr id="67" name="Picture 66">
          <a:extLst>
            <a:ext uri="{FF2B5EF4-FFF2-40B4-BE49-F238E27FC236}">
              <a16:creationId xmlns:a16="http://schemas.microsoft.com/office/drawing/2014/main" id="{00000000-0008-0000-0200-000043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6980" y="8415655"/>
          <a:ext cx="163830" cy="169545"/>
        </a:xfrm>
        <a:prstGeom prst="rect">
          <a:avLst/>
        </a:prstGeom>
      </xdr:spPr>
    </xdr:pic>
    <xdr:clientData/>
  </xdr:twoCellAnchor>
  <xdr:twoCellAnchor editAs="oneCell">
    <xdr:from>
      <xdr:col>3</xdr:col>
      <xdr:colOff>1679408</xdr:colOff>
      <xdr:row>21</xdr:row>
      <xdr:rowOff>15039</xdr:rowOff>
    </xdr:from>
    <xdr:to>
      <xdr:col>3</xdr:col>
      <xdr:colOff>1843264</xdr:colOff>
      <xdr:row>21</xdr:row>
      <xdr:rowOff>194883</xdr:rowOff>
    </xdr:to>
    <xdr:pic macro="[0]!Routine_R11">
      <xdr:nvPicPr>
        <xdr:cNvPr id="68" name="Picture 67">
          <a:extLst>
            <a:ext uri="{FF2B5EF4-FFF2-40B4-BE49-F238E27FC236}">
              <a16:creationId xmlns:a16="http://schemas.microsoft.com/office/drawing/2014/main" id="{00000000-0008-0000-0200-000044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7140" y="8796655"/>
          <a:ext cx="163830" cy="179705"/>
        </a:xfrm>
        <a:prstGeom prst="rect">
          <a:avLst/>
        </a:prstGeom>
      </xdr:spPr>
    </xdr:pic>
    <xdr:clientData/>
  </xdr:twoCellAnchor>
  <xdr:twoCellAnchor editAs="oneCell">
    <xdr:from>
      <xdr:col>3</xdr:col>
      <xdr:colOff>1654342</xdr:colOff>
      <xdr:row>22</xdr:row>
      <xdr:rowOff>200526</xdr:rowOff>
    </xdr:from>
    <xdr:to>
      <xdr:col>3</xdr:col>
      <xdr:colOff>1818198</xdr:colOff>
      <xdr:row>22</xdr:row>
      <xdr:rowOff>369768</xdr:rowOff>
    </xdr:to>
    <xdr:pic macro="[0]!Routine_R12">
      <xdr:nvPicPr>
        <xdr:cNvPr id="69" name="Picture 68">
          <a:extLst>
            <a:ext uri="{FF2B5EF4-FFF2-40B4-BE49-F238E27FC236}">
              <a16:creationId xmlns:a16="http://schemas.microsoft.com/office/drawing/2014/main" id="{00000000-0008-0000-0200-000045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2375" y="9363075"/>
          <a:ext cx="163830" cy="169545"/>
        </a:xfrm>
        <a:prstGeom prst="rect">
          <a:avLst/>
        </a:prstGeom>
      </xdr:spPr>
    </xdr:pic>
    <xdr:clientData/>
  </xdr:twoCellAnchor>
  <xdr:twoCellAnchor editAs="oneCell">
    <xdr:from>
      <xdr:col>3</xdr:col>
      <xdr:colOff>1660922</xdr:colOff>
      <xdr:row>23</xdr:row>
      <xdr:rowOff>23812</xdr:rowOff>
    </xdr:from>
    <xdr:to>
      <xdr:col>3</xdr:col>
      <xdr:colOff>1824778</xdr:colOff>
      <xdr:row>23</xdr:row>
      <xdr:rowOff>193054</xdr:rowOff>
    </xdr:to>
    <xdr:pic macro="[0]!Routine_R13">
      <xdr:nvPicPr>
        <xdr:cNvPr id="70" name="Picture 69">
          <a:extLst>
            <a:ext uri="{FF2B5EF4-FFF2-40B4-BE49-F238E27FC236}">
              <a16:creationId xmlns:a16="http://schemas.microsoft.com/office/drawing/2014/main" id="{00000000-0008-0000-0200-000046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8725" y="9577070"/>
          <a:ext cx="163830" cy="169545"/>
        </a:xfrm>
        <a:prstGeom prst="rect">
          <a:avLst/>
        </a:prstGeom>
      </xdr:spPr>
    </xdr:pic>
    <xdr:clientData/>
  </xdr:twoCellAnchor>
  <xdr:twoCellAnchor editAs="oneCell">
    <xdr:from>
      <xdr:col>3</xdr:col>
      <xdr:colOff>1672828</xdr:colOff>
      <xdr:row>24</xdr:row>
      <xdr:rowOff>36910</xdr:rowOff>
    </xdr:from>
    <xdr:to>
      <xdr:col>3</xdr:col>
      <xdr:colOff>1836684</xdr:colOff>
      <xdr:row>24</xdr:row>
      <xdr:rowOff>190912</xdr:rowOff>
    </xdr:to>
    <xdr:pic macro="[0]!Routine_R14">
      <xdr:nvPicPr>
        <xdr:cNvPr id="71" name="Picture 70">
          <a:extLst>
            <a:ext uri="{FF2B5EF4-FFF2-40B4-BE49-F238E27FC236}">
              <a16:creationId xmlns:a16="http://schemas.microsoft.com/office/drawing/2014/main" id="{00000000-0008-0000-0200-000047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0790" y="9971405"/>
          <a:ext cx="163830" cy="153670"/>
        </a:xfrm>
        <a:prstGeom prst="rect">
          <a:avLst/>
        </a:prstGeom>
      </xdr:spPr>
    </xdr:pic>
    <xdr:clientData/>
  </xdr:twoCellAnchor>
  <xdr:twoCellAnchor editAs="oneCell">
    <xdr:from>
      <xdr:col>3</xdr:col>
      <xdr:colOff>1653778</xdr:colOff>
      <xdr:row>25</xdr:row>
      <xdr:rowOff>40481</xdr:rowOff>
    </xdr:from>
    <xdr:to>
      <xdr:col>3</xdr:col>
      <xdr:colOff>1817634</xdr:colOff>
      <xdr:row>25</xdr:row>
      <xdr:rowOff>220325</xdr:rowOff>
    </xdr:to>
    <xdr:pic macro="[0]!Routine_R15">
      <xdr:nvPicPr>
        <xdr:cNvPr id="72" name="Picture 71">
          <a:extLst>
            <a:ext uri="{FF2B5EF4-FFF2-40B4-BE49-F238E27FC236}">
              <a16:creationId xmlns:a16="http://schemas.microsoft.com/office/drawing/2014/main" id="{00000000-0008-0000-0200-000048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1740" y="10355580"/>
          <a:ext cx="163830" cy="179705"/>
        </a:xfrm>
        <a:prstGeom prst="rect">
          <a:avLst/>
        </a:prstGeom>
      </xdr:spPr>
    </xdr:pic>
    <xdr:clientData/>
  </xdr:twoCellAnchor>
  <xdr:twoCellAnchor editAs="oneCell">
    <xdr:from>
      <xdr:col>3</xdr:col>
      <xdr:colOff>1672829</xdr:colOff>
      <xdr:row>26</xdr:row>
      <xdr:rowOff>17860</xdr:rowOff>
    </xdr:from>
    <xdr:to>
      <xdr:col>3</xdr:col>
      <xdr:colOff>1836685</xdr:colOff>
      <xdr:row>26</xdr:row>
      <xdr:rowOff>171862</xdr:rowOff>
    </xdr:to>
    <xdr:pic macro="[0]!Routine_R16">
      <xdr:nvPicPr>
        <xdr:cNvPr id="73" name="Picture 72">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0790" y="10714355"/>
          <a:ext cx="163830" cy="153670"/>
        </a:xfrm>
        <a:prstGeom prst="rect">
          <a:avLst/>
        </a:prstGeom>
      </xdr:spPr>
    </xdr:pic>
    <xdr:clientData/>
  </xdr:twoCellAnchor>
  <xdr:twoCellAnchor editAs="oneCell">
    <xdr:from>
      <xdr:col>3</xdr:col>
      <xdr:colOff>1666875</xdr:colOff>
      <xdr:row>27</xdr:row>
      <xdr:rowOff>17860</xdr:rowOff>
    </xdr:from>
    <xdr:to>
      <xdr:col>3</xdr:col>
      <xdr:colOff>1830731</xdr:colOff>
      <xdr:row>27</xdr:row>
      <xdr:rowOff>171862</xdr:rowOff>
    </xdr:to>
    <xdr:pic macro="[0]!Routine_R18">
      <xdr:nvPicPr>
        <xdr:cNvPr id="75" name="Picture 74">
          <a:extLst>
            <a:ext uri="{FF2B5EF4-FFF2-40B4-BE49-F238E27FC236}">
              <a16:creationId xmlns:a16="http://schemas.microsoft.com/office/drawing/2014/main" id="{00000000-0008-0000-0200-00004B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5075" y="11095355"/>
          <a:ext cx="163830" cy="153670"/>
        </a:xfrm>
        <a:prstGeom prst="rect">
          <a:avLst/>
        </a:prstGeom>
      </xdr:spPr>
    </xdr:pic>
    <xdr:clientData/>
  </xdr:twoCellAnchor>
  <xdr:twoCellAnchor editAs="oneCell">
    <xdr:from>
      <xdr:col>3</xdr:col>
      <xdr:colOff>1672829</xdr:colOff>
      <xdr:row>28</xdr:row>
      <xdr:rowOff>17860</xdr:rowOff>
    </xdr:from>
    <xdr:to>
      <xdr:col>3</xdr:col>
      <xdr:colOff>1836685</xdr:colOff>
      <xdr:row>28</xdr:row>
      <xdr:rowOff>171862</xdr:rowOff>
    </xdr:to>
    <xdr:pic macro="[0]!Routine_R19">
      <xdr:nvPicPr>
        <xdr:cNvPr id="76" name="Picture 75">
          <a:extLst>
            <a:ext uri="{FF2B5EF4-FFF2-40B4-BE49-F238E27FC236}">
              <a16:creationId xmlns:a16="http://schemas.microsoft.com/office/drawing/2014/main" id="{00000000-0008-0000-0200-00004C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0790" y="11476355"/>
          <a:ext cx="163830" cy="153670"/>
        </a:xfrm>
        <a:prstGeom prst="rect">
          <a:avLst/>
        </a:prstGeom>
      </xdr:spPr>
    </xdr:pic>
    <xdr:clientData/>
  </xdr:twoCellAnchor>
  <xdr:twoCellAnchor editAs="oneCell">
    <xdr:from>
      <xdr:col>3</xdr:col>
      <xdr:colOff>1654969</xdr:colOff>
      <xdr:row>29</xdr:row>
      <xdr:rowOff>142875</xdr:rowOff>
    </xdr:from>
    <xdr:to>
      <xdr:col>3</xdr:col>
      <xdr:colOff>1818825</xdr:colOff>
      <xdr:row>29</xdr:row>
      <xdr:rowOff>312117</xdr:rowOff>
    </xdr:to>
    <xdr:pic macro="[0]!Routine_2R">
      <xdr:nvPicPr>
        <xdr:cNvPr id="77" name="Picture 76">
          <a:extLst>
            <a:ext uri="{FF2B5EF4-FFF2-40B4-BE49-F238E27FC236}">
              <a16:creationId xmlns:a16="http://schemas.microsoft.com/office/drawing/2014/main" id="{00000000-0008-0000-0200-00004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3010" y="11982450"/>
          <a:ext cx="163830" cy="168910"/>
        </a:xfrm>
        <a:prstGeom prst="rect">
          <a:avLst/>
        </a:prstGeom>
      </xdr:spPr>
    </xdr:pic>
    <xdr:clientData/>
  </xdr:twoCellAnchor>
  <xdr:twoCellAnchor editAs="oneCell">
    <xdr:from>
      <xdr:col>3</xdr:col>
      <xdr:colOff>1654969</xdr:colOff>
      <xdr:row>30</xdr:row>
      <xdr:rowOff>11907</xdr:rowOff>
    </xdr:from>
    <xdr:to>
      <xdr:col>3</xdr:col>
      <xdr:colOff>1818825</xdr:colOff>
      <xdr:row>30</xdr:row>
      <xdr:rowOff>191751</xdr:rowOff>
    </xdr:to>
    <xdr:pic macro="[0]!Routine_2R">
      <xdr:nvPicPr>
        <xdr:cNvPr id="78" name="Picture 77">
          <a:extLst>
            <a:ext uri="{FF2B5EF4-FFF2-40B4-BE49-F238E27FC236}">
              <a16:creationId xmlns:a16="http://schemas.microsoft.com/office/drawing/2014/main" id="{00000000-0008-0000-0200-00004E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3010" y="12193905"/>
          <a:ext cx="163830" cy="179705"/>
        </a:xfrm>
        <a:prstGeom prst="rect">
          <a:avLst/>
        </a:prstGeom>
      </xdr:spPr>
    </xdr:pic>
    <xdr:clientData/>
  </xdr:twoCellAnchor>
  <xdr:twoCellAnchor editAs="oneCell">
    <xdr:from>
      <xdr:col>3</xdr:col>
      <xdr:colOff>1649015</xdr:colOff>
      <xdr:row>31</xdr:row>
      <xdr:rowOff>107156</xdr:rowOff>
    </xdr:from>
    <xdr:to>
      <xdr:col>3</xdr:col>
      <xdr:colOff>1812871</xdr:colOff>
      <xdr:row>31</xdr:row>
      <xdr:rowOff>276398</xdr:rowOff>
    </xdr:to>
    <xdr:pic macro="[0]!Routine_R22">
      <xdr:nvPicPr>
        <xdr:cNvPr id="79" name="Picture 78">
          <a:extLst>
            <a:ext uri="{FF2B5EF4-FFF2-40B4-BE49-F238E27FC236}">
              <a16:creationId xmlns:a16="http://schemas.microsoft.com/office/drawing/2014/main" id="{00000000-0008-0000-0200-00004F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296660" y="12670155"/>
          <a:ext cx="163830" cy="169545"/>
        </a:xfrm>
        <a:prstGeom prst="rect">
          <a:avLst/>
        </a:prstGeom>
      </xdr:spPr>
    </xdr:pic>
    <xdr:clientData/>
  </xdr:twoCellAnchor>
  <xdr:twoCellAnchor editAs="oneCell">
    <xdr:from>
      <xdr:col>3</xdr:col>
      <xdr:colOff>1666875</xdr:colOff>
      <xdr:row>33</xdr:row>
      <xdr:rowOff>11906</xdr:rowOff>
    </xdr:from>
    <xdr:to>
      <xdr:col>3</xdr:col>
      <xdr:colOff>1830731</xdr:colOff>
      <xdr:row>33</xdr:row>
      <xdr:rowOff>181148</xdr:rowOff>
    </xdr:to>
    <xdr:pic macro="[0]!Routine_R23">
      <xdr:nvPicPr>
        <xdr:cNvPr id="83" name="Picture 82">
          <a:extLst>
            <a:ext uri="{FF2B5EF4-FFF2-40B4-BE49-F238E27FC236}">
              <a16:creationId xmlns:a16="http://schemas.microsoft.com/office/drawing/2014/main" id="{00000000-0008-0000-0200-000053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5075" y="13413105"/>
          <a:ext cx="163830" cy="169545"/>
        </a:xfrm>
        <a:prstGeom prst="rect">
          <a:avLst/>
        </a:prstGeom>
      </xdr:spPr>
    </xdr:pic>
    <xdr:clientData/>
  </xdr:twoCellAnchor>
  <xdr:twoCellAnchor editAs="oneCell">
    <xdr:from>
      <xdr:col>3</xdr:col>
      <xdr:colOff>1641872</xdr:colOff>
      <xdr:row>34</xdr:row>
      <xdr:rowOff>38100</xdr:rowOff>
    </xdr:from>
    <xdr:to>
      <xdr:col>3</xdr:col>
      <xdr:colOff>1805728</xdr:colOff>
      <xdr:row>34</xdr:row>
      <xdr:rowOff>207342</xdr:rowOff>
    </xdr:to>
    <xdr:pic macro="[0]!Routine_R7">
      <xdr:nvPicPr>
        <xdr:cNvPr id="85" name="Picture 84">
          <a:extLst>
            <a:ext uri="{FF2B5EF4-FFF2-40B4-BE49-F238E27FC236}">
              <a16:creationId xmlns:a16="http://schemas.microsoft.com/office/drawing/2014/main" id="{00000000-0008-0000-0200-000055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289675" y="14297025"/>
          <a:ext cx="163830" cy="168910"/>
        </a:xfrm>
        <a:prstGeom prst="rect">
          <a:avLst/>
        </a:prstGeom>
      </xdr:spPr>
    </xdr:pic>
    <xdr:clientData/>
  </xdr:twoCellAnchor>
  <xdr:twoCellAnchor editAs="oneCell">
    <xdr:from>
      <xdr:col>3</xdr:col>
      <xdr:colOff>1666875</xdr:colOff>
      <xdr:row>35</xdr:row>
      <xdr:rowOff>17859</xdr:rowOff>
    </xdr:from>
    <xdr:to>
      <xdr:col>3</xdr:col>
      <xdr:colOff>1830731</xdr:colOff>
      <xdr:row>35</xdr:row>
      <xdr:rowOff>187101</xdr:rowOff>
    </xdr:to>
    <xdr:pic macro="[0]!Routine_R26">
      <xdr:nvPicPr>
        <xdr:cNvPr id="86" name="Picture 85">
          <a:extLst>
            <a:ext uri="{FF2B5EF4-FFF2-40B4-BE49-F238E27FC236}">
              <a16:creationId xmlns:a16="http://schemas.microsoft.com/office/drawing/2014/main" id="{00000000-0008-0000-0200-000056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5075" y="15038705"/>
          <a:ext cx="163830" cy="168910"/>
        </a:xfrm>
        <a:prstGeom prst="rect">
          <a:avLst/>
        </a:prstGeom>
      </xdr:spPr>
    </xdr:pic>
    <xdr:clientData/>
  </xdr:twoCellAnchor>
  <xdr:twoCellAnchor editAs="oneCell">
    <xdr:from>
      <xdr:col>3</xdr:col>
      <xdr:colOff>1666875</xdr:colOff>
      <xdr:row>36</xdr:row>
      <xdr:rowOff>17859</xdr:rowOff>
    </xdr:from>
    <xdr:to>
      <xdr:col>3</xdr:col>
      <xdr:colOff>1830731</xdr:colOff>
      <xdr:row>36</xdr:row>
      <xdr:rowOff>187101</xdr:rowOff>
    </xdr:to>
    <xdr:pic macro="[0]!Routine_R27">
      <xdr:nvPicPr>
        <xdr:cNvPr id="87" name="Picture 86">
          <a:extLst>
            <a:ext uri="{FF2B5EF4-FFF2-40B4-BE49-F238E27FC236}">
              <a16:creationId xmlns:a16="http://schemas.microsoft.com/office/drawing/2014/main" id="{00000000-0008-0000-0200-000057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5075" y="15686405"/>
          <a:ext cx="163830" cy="168910"/>
        </a:xfrm>
        <a:prstGeom prst="rect">
          <a:avLst/>
        </a:prstGeom>
      </xdr:spPr>
    </xdr:pic>
    <xdr:clientData/>
  </xdr:twoCellAnchor>
  <xdr:twoCellAnchor editAs="oneCell">
    <xdr:from>
      <xdr:col>3</xdr:col>
      <xdr:colOff>1672828</xdr:colOff>
      <xdr:row>37</xdr:row>
      <xdr:rowOff>23813</xdr:rowOff>
    </xdr:from>
    <xdr:to>
      <xdr:col>3</xdr:col>
      <xdr:colOff>1836684</xdr:colOff>
      <xdr:row>37</xdr:row>
      <xdr:rowOff>193055</xdr:rowOff>
    </xdr:to>
    <xdr:pic macro="[0]!Routine_3R">
      <xdr:nvPicPr>
        <xdr:cNvPr id="88" name="Picture 87">
          <a:extLst>
            <a:ext uri="{FF2B5EF4-FFF2-40B4-BE49-F238E27FC236}">
              <a16:creationId xmlns:a16="http://schemas.microsoft.com/office/drawing/2014/main" id="{00000000-0008-0000-0200-000058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0790" y="16063595"/>
          <a:ext cx="163830" cy="169545"/>
        </a:xfrm>
        <a:prstGeom prst="rect">
          <a:avLst/>
        </a:prstGeom>
      </xdr:spPr>
    </xdr:pic>
    <xdr:clientData/>
  </xdr:twoCellAnchor>
  <xdr:twoCellAnchor editAs="oneCell">
    <xdr:from>
      <xdr:col>3</xdr:col>
      <xdr:colOff>1660922</xdr:colOff>
      <xdr:row>38</xdr:row>
      <xdr:rowOff>47625</xdr:rowOff>
    </xdr:from>
    <xdr:to>
      <xdr:col>3</xdr:col>
      <xdr:colOff>1824778</xdr:colOff>
      <xdr:row>38</xdr:row>
      <xdr:rowOff>216867</xdr:rowOff>
    </xdr:to>
    <xdr:pic macro="[0]!Routine_4R">
      <xdr:nvPicPr>
        <xdr:cNvPr id="89" name="Picture 88">
          <a:extLst>
            <a:ext uri="{FF2B5EF4-FFF2-40B4-BE49-F238E27FC236}">
              <a16:creationId xmlns:a16="http://schemas.microsoft.com/office/drawing/2014/main" id="{00000000-0008-0000-0200-000059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8725" y="16468725"/>
          <a:ext cx="163830" cy="168910"/>
        </a:xfrm>
        <a:prstGeom prst="rect">
          <a:avLst/>
        </a:prstGeom>
      </xdr:spPr>
    </xdr:pic>
    <xdr:clientData/>
  </xdr:twoCellAnchor>
  <xdr:twoCellAnchor editAs="oneCell">
    <xdr:from>
      <xdr:col>3</xdr:col>
      <xdr:colOff>1654969</xdr:colOff>
      <xdr:row>39</xdr:row>
      <xdr:rowOff>17860</xdr:rowOff>
    </xdr:from>
    <xdr:to>
      <xdr:col>3</xdr:col>
      <xdr:colOff>1818825</xdr:colOff>
      <xdr:row>39</xdr:row>
      <xdr:rowOff>187102</xdr:rowOff>
    </xdr:to>
    <xdr:pic macro="[0]!Routine_5R">
      <xdr:nvPicPr>
        <xdr:cNvPr id="90" name="Picture 89">
          <a:extLst>
            <a:ext uri="{FF2B5EF4-FFF2-40B4-BE49-F238E27FC236}">
              <a16:creationId xmlns:a16="http://schemas.microsoft.com/office/drawing/2014/main" id="{00000000-0008-0000-0200-00005A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3010" y="16819880"/>
          <a:ext cx="163830" cy="168910"/>
        </a:xfrm>
        <a:prstGeom prst="rect">
          <a:avLst/>
        </a:prstGeom>
      </xdr:spPr>
    </xdr:pic>
    <xdr:clientData/>
  </xdr:twoCellAnchor>
  <xdr:twoCellAnchor editAs="oneCell">
    <xdr:from>
      <xdr:col>3</xdr:col>
      <xdr:colOff>1672829</xdr:colOff>
      <xdr:row>40</xdr:row>
      <xdr:rowOff>17859</xdr:rowOff>
    </xdr:from>
    <xdr:to>
      <xdr:col>3</xdr:col>
      <xdr:colOff>1836685</xdr:colOff>
      <xdr:row>40</xdr:row>
      <xdr:rowOff>171861</xdr:rowOff>
    </xdr:to>
    <xdr:pic macro="[0]!Routine_6R">
      <xdr:nvPicPr>
        <xdr:cNvPr id="91" name="Picture 90">
          <a:extLst>
            <a:ext uri="{FF2B5EF4-FFF2-40B4-BE49-F238E27FC236}">
              <a16:creationId xmlns:a16="http://schemas.microsoft.com/office/drawing/2014/main" id="{00000000-0008-0000-0200-00005B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0790" y="17200880"/>
          <a:ext cx="163830" cy="153670"/>
        </a:xfrm>
        <a:prstGeom prst="rect">
          <a:avLst/>
        </a:prstGeom>
      </xdr:spPr>
    </xdr:pic>
    <xdr:clientData/>
  </xdr:twoCellAnchor>
  <xdr:twoCellAnchor editAs="oneCell">
    <xdr:from>
      <xdr:col>3</xdr:col>
      <xdr:colOff>1666875</xdr:colOff>
      <xdr:row>41</xdr:row>
      <xdr:rowOff>11906</xdr:rowOff>
    </xdr:from>
    <xdr:to>
      <xdr:col>3</xdr:col>
      <xdr:colOff>1830731</xdr:colOff>
      <xdr:row>41</xdr:row>
      <xdr:rowOff>191750</xdr:rowOff>
    </xdr:to>
    <xdr:pic macro="[0]!Routine_7R">
      <xdr:nvPicPr>
        <xdr:cNvPr id="92" name="Picture 91">
          <a:extLst>
            <a:ext uri="{FF2B5EF4-FFF2-40B4-BE49-F238E27FC236}">
              <a16:creationId xmlns:a16="http://schemas.microsoft.com/office/drawing/2014/main" id="{00000000-0008-0000-0200-00005C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15075" y="17575530"/>
          <a:ext cx="163830" cy="179705"/>
        </a:xfrm>
        <a:prstGeom prst="rect">
          <a:avLst/>
        </a:prstGeom>
      </xdr:spPr>
    </xdr:pic>
    <xdr:clientData/>
  </xdr:twoCellAnchor>
  <xdr:twoCellAnchor editAs="oneCell">
    <xdr:from>
      <xdr:col>3</xdr:col>
      <xdr:colOff>1660922</xdr:colOff>
      <xdr:row>42</xdr:row>
      <xdr:rowOff>17859</xdr:rowOff>
    </xdr:from>
    <xdr:to>
      <xdr:col>3</xdr:col>
      <xdr:colOff>1824778</xdr:colOff>
      <xdr:row>42</xdr:row>
      <xdr:rowOff>171861</xdr:rowOff>
    </xdr:to>
    <xdr:pic macro="[0]!Routine_8R">
      <xdr:nvPicPr>
        <xdr:cNvPr id="93" name="Picture 92">
          <a:extLst>
            <a:ext uri="{FF2B5EF4-FFF2-40B4-BE49-F238E27FC236}">
              <a16:creationId xmlns:a16="http://schemas.microsoft.com/office/drawing/2014/main" id="{00000000-0008-0000-0200-00005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8725" y="17962880"/>
          <a:ext cx="163830" cy="153670"/>
        </a:xfrm>
        <a:prstGeom prst="rect">
          <a:avLst/>
        </a:prstGeom>
      </xdr:spPr>
    </xdr:pic>
    <xdr:clientData/>
  </xdr:twoCellAnchor>
  <xdr:twoCellAnchor editAs="oneCell">
    <xdr:from>
      <xdr:col>3</xdr:col>
      <xdr:colOff>1660922</xdr:colOff>
      <xdr:row>44</xdr:row>
      <xdr:rowOff>23813</xdr:rowOff>
    </xdr:from>
    <xdr:to>
      <xdr:col>3</xdr:col>
      <xdr:colOff>1824778</xdr:colOff>
      <xdr:row>44</xdr:row>
      <xdr:rowOff>193055</xdr:rowOff>
    </xdr:to>
    <xdr:pic macro="[0]!Routine_9R">
      <xdr:nvPicPr>
        <xdr:cNvPr id="95" name="Picture 94">
          <a:extLst>
            <a:ext uri="{FF2B5EF4-FFF2-40B4-BE49-F238E27FC236}">
              <a16:creationId xmlns:a16="http://schemas.microsoft.com/office/drawing/2014/main" id="{00000000-0008-0000-0200-00005F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8725" y="18730595"/>
          <a:ext cx="163830" cy="169545"/>
        </a:xfrm>
        <a:prstGeom prst="rect">
          <a:avLst/>
        </a:prstGeom>
      </xdr:spPr>
    </xdr:pic>
    <xdr:clientData/>
  </xdr:twoCellAnchor>
  <xdr:twoCellAnchor editAs="oneCell">
    <xdr:from>
      <xdr:col>3</xdr:col>
      <xdr:colOff>1672828</xdr:colOff>
      <xdr:row>45</xdr:row>
      <xdr:rowOff>17859</xdr:rowOff>
    </xdr:from>
    <xdr:to>
      <xdr:col>3</xdr:col>
      <xdr:colOff>1836684</xdr:colOff>
      <xdr:row>45</xdr:row>
      <xdr:rowOff>171861</xdr:rowOff>
    </xdr:to>
    <xdr:pic macro="[0]!Routine_10R">
      <xdr:nvPicPr>
        <xdr:cNvPr id="96" name="Picture 95">
          <a:extLst>
            <a:ext uri="{FF2B5EF4-FFF2-40B4-BE49-F238E27FC236}">
              <a16:creationId xmlns:a16="http://schemas.microsoft.com/office/drawing/2014/main" id="{00000000-0008-0000-0200-000060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20790" y="19105880"/>
          <a:ext cx="163830" cy="153670"/>
        </a:xfrm>
        <a:prstGeom prst="rect">
          <a:avLst/>
        </a:prstGeom>
      </xdr:spPr>
    </xdr:pic>
    <xdr:clientData/>
  </xdr:twoCellAnchor>
  <xdr:twoCellAnchor editAs="oneCell">
    <xdr:from>
      <xdr:col>8</xdr:col>
      <xdr:colOff>966107</xdr:colOff>
      <xdr:row>0</xdr:row>
      <xdr:rowOff>68035</xdr:rowOff>
    </xdr:from>
    <xdr:to>
      <xdr:col>8</xdr:col>
      <xdr:colOff>1779832</xdr:colOff>
      <xdr:row>0</xdr:row>
      <xdr:rowOff>890995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210" y="67945"/>
          <a:ext cx="813435" cy="822960"/>
        </a:xfrm>
        <a:prstGeom prst="rect">
          <a:avLst/>
        </a:prstGeom>
      </xdr:spPr>
    </xdr:pic>
    <xdr:clientData/>
  </xdr:twoCellAnchor>
  <xdr:twoCellAnchor editAs="oneCell">
    <xdr:from>
      <xdr:col>2</xdr:col>
      <xdr:colOff>1388251</xdr:colOff>
      <xdr:row>0</xdr:row>
      <xdr:rowOff>109179</xdr:rowOff>
    </xdr:from>
    <xdr:to>
      <xdr:col>5</xdr:col>
      <xdr:colOff>279041</xdr:colOff>
      <xdr:row>0</xdr:row>
      <xdr:rowOff>932139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21835" y="108585"/>
          <a:ext cx="2948305" cy="822960"/>
        </a:xfrm>
        <a:prstGeom prst="rect">
          <a:avLst/>
        </a:prstGeom>
      </xdr:spPr>
    </xdr:pic>
    <xdr:clientData/>
  </xdr:twoCellAnchor>
  <xdr:twoCellAnchor editAs="oneCell">
    <xdr:from>
      <xdr:col>3</xdr:col>
      <xdr:colOff>1653693</xdr:colOff>
      <xdr:row>16</xdr:row>
      <xdr:rowOff>55380</xdr:rowOff>
    </xdr:from>
    <xdr:to>
      <xdr:col>3</xdr:col>
      <xdr:colOff>1817549</xdr:colOff>
      <xdr:row>16</xdr:row>
      <xdr:rowOff>224622</xdr:rowOff>
    </xdr:to>
    <xdr:pic macro="[0]!Routine_11R">
      <xdr:nvPicPr>
        <xdr:cNvPr id="45" name="Picture 44">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1740" y="6932295"/>
          <a:ext cx="163830" cy="168910"/>
        </a:xfrm>
        <a:prstGeom prst="rect">
          <a:avLst/>
        </a:prstGeom>
      </xdr:spPr>
    </xdr:pic>
    <xdr:clientData/>
  </xdr:twoCellAnchor>
  <xdr:twoCellAnchor editAs="oneCell">
    <xdr:from>
      <xdr:col>2</xdr:col>
      <xdr:colOff>1311433</xdr:colOff>
      <xdr:row>17</xdr:row>
      <xdr:rowOff>80512</xdr:rowOff>
    </xdr:from>
    <xdr:to>
      <xdr:col>2</xdr:col>
      <xdr:colOff>1475289</xdr:colOff>
      <xdr:row>17</xdr:row>
      <xdr:rowOff>249754</xdr:rowOff>
    </xdr:to>
    <xdr:pic macro="[0]!Routine_11R">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4445000" y="7338060"/>
          <a:ext cx="163830" cy="169545"/>
        </a:xfrm>
        <a:prstGeom prst="rect">
          <a:avLst/>
        </a:prstGeom>
      </xdr:spPr>
    </xdr:pic>
    <xdr:clientData/>
  </xdr:twoCellAnchor>
  <xdr:twoCellAnchor editAs="oneCell">
    <xdr:from>
      <xdr:col>2</xdr:col>
      <xdr:colOff>1299747</xdr:colOff>
      <xdr:row>18</xdr:row>
      <xdr:rowOff>87236</xdr:rowOff>
    </xdr:from>
    <xdr:to>
      <xdr:col>2</xdr:col>
      <xdr:colOff>1463603</xdr:colOff>
      <xdr:row>18</xdr:row>
      <xdr:rowOff>256478</xdr:rowOff>
    </xdr:to>
    <xdr:pic macro="[0]!Routine_11R">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4432935" y="7726045"/>
          <a:ext cx="163830" cy="168910"/>
        </a:xfrm>
        <a:prstGeom prst="rect">
          <a:avLst/>
        </a:prstGeom>
      </xdr:spPr>
    </xdr:pic>
    <xdr:clientData/>
  </xdr:twoCellAnchor>
  <xdr:twoCellAnchor editAs="oneCell">
    <xdr:from>
      <xdr:col>2</xdr:col>
      <xdr:colOff>1291078</xdr:colOff>
      <xdr:row>19</xdr:row>
      <xdr:rowOff>96850</xdr:rowOff>
    </xdr:from>
    <xdr:to>
      <xdr:col>2</xdr:col>
      <xdr:colOff>1454934</xdr:colOff>
      <xdr:row>19</xdr:row>
      <xdr:rowOff>266092</xdr:rowOff>
    </xdr:to>
    <xdr:pic macro="[0]!Routine_11R">
      <xdr:nvPicPr>
        <xdr:cNvPr id="48" name="Picture 47">
          <a:extLst>
            <a:ext uri="{FF2B5EF4-FFF2-40B4-BE49-F238E27FC236}">
              <a16:creationId xmlns:a16="http://schemas.microsoft.com/office/drawing/2014/main" id="{00000000-0008-0000-0200-000030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4424680" y="8116570"/>
          <a:ext cx="163830" cy="169545"/>
        </a:xfrm>
        <a:prstGeom prst="rect">
          <a:avLst/>
        </a:prstGeom>
      </xdr:spPr>
    </xdr:pic>
    <xdr:clientData/>
  </xdr:twoCellAnchor>
  <xdr:oneCellAnchor>
    <xdr:from>
      <xdr:col>3</xdr:col>
      <xdr:colOff>1660922</xdr:colOff>
      <xdr:row>32</xdr:row>
      <xdr:rowOff>29765</xdr:rowOff>
    </xdr:from>
    <xdr:ext cx="163856" cy="169242"/>
    <xdr:pic macro="[0]!Routine_R25">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6308725" y="13049885"/>
          <a:ext cx="163830" cy="169545"/>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6617805</xdr:colOff>
      <xdr:row>2</xdr:row>
      <xdr:rowOff>16565</xdr:rowOff>
    </xdr:from>
    <xdr:to>
      <xdr:col>1</xdr:col>
      <xdr:colOff>6781661</xdr:colOff>
      <xdr:row>2</xdr:row>
      <xdr:rowOff>185807</xdr:rowOff>
    </xdr:to>
    <xdr:pic macro="[0]!Routine_1G">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788910" y="1330960"/>
          <a:ext cx="163830" cy="168910"/>
        </a:xfrm>
        <a:prstGeom prst="rect">
          <a:avLst/>
        </a:prstGeom>
      </xdr:spPr>
    </xdr:pic>
    <xdr:clientData/>
  </xdr:twoCellAnchor>
  <xdr:twoCellAnchor editAs="oneCell">
    <xdr:from>
      <xdr:col>1</xdr:col>
      <xdr:colOff>6621118</xdr:colOff>
      <xdr:row>5</xdr:row>
      <xdr:rowOff>28160</xdr:rowOff>
    </xdr:from>
    <xdr:to>
      <xdr:col>1</xdr:col>
      <xdr:colOff>6784974</xdr:colOff>
      <xdr:row>5</xdr:row>
      <xdr:rowOff>202039</xdr:rowOff>
    </xdr:to>
    <xdr:pic macro="[0]!Routine_2G">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792085" y="2485390"/>
          <a:ext cx="163830" cy="173990"/>
        </a:xfrm>
        <a:prstGeom prst="rect">
          <a:avLst/>
        </a:prstGeom>
      </xdr:spPr>
    </xdr:pic>
    <xdr:clientData/>
  </xdr:twoCellAnchor>
  <xdr:twoCellAnchor editAs="oneCell">
    <xdr:from>
      <xdr:col>1</xdr:col>
      <xdr:colOff>6617804</xdr:colOff>
      <xdr:row>6</xdr:row>
      <xdr:rowOff>24848</xdr:rowOff>
    </xdr:from>
    <xdr:to>
      <xdr:col>1</xdr:col>
      <xdr:colOff>6781660</xdr:colOff>
      <xdr:row>6</xdr:row>
      <xdr:rowOff>194090</xdr:rowOff>
    </xdr:to>
    <xdr:pic macro="[0]!Routine_3G">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788910" y="2863215"/>
          <a:ext cx="163830" cy="168910"/>
        </a:xfrm>
        <a:prstGeom prst="rect">
          <a:avLst/>
        </a:prstGeom>
      </xdr:spPr>
    </xdr:pic>
    <xdr:clientData/>
  </xdr:twoCellAnchor>
  <xdr:twoCellAnchor editAs="oneCell">
    <xdr:from>
      <xdr:col>1</xdr:col>
      <xdr:colOff>6606017</xdr:colOff>
      <xdr:row>7</xdr:row>
      <xdr:rowOff>14654</xdr:rowOff>
    </xdr:from>
    <xdr:to>
      <xdr:col>1</xdr:col>
      <xdr:colOff>6769873</xdr:colOff>
      <xdr:row>7</xdr:row>
      <xdr:rowOff>183896</xdr:rowOff>
    </xdr:to>
    <xdr:pic macro="[0]!Routine_3G">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777480" y="3234055"/>
          <a:ext cx="163830" cy="168910"/>
        </a:xfrm>
        <a:prstGeom prst="rect">
          <a:avLst/>
        </a:prstGeom>
      </xdr:spPr>
    </xdr:pic>
    <xdr:clientData/>
  </xdr:twoCellAnchor>
  <xdr:twoCellAnchor editAs="oneCell">
    <xdr:from>
      <xdr:col>1</xdr:col>
      <xdr:colOff>6616211</xdr:colOff>
      <xdr:row>8</xdr:row>
      <xdr:rowOff>14654</xdr:rowOff>
    </xdr:from>
    <xdr:to>
      <xdr:col>1</xdr:col>
      <xdr:colOff>6780067</xdr:colOff>
      <xdr:row>8</xdr:row>
      <xdr:rowOff>183896</xdr:rowOff>
    </xdr:to>
    <xdr:pic macro="[0]!Routine_3G">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787640" y="3615055"/>
          <a:ext cx="163830" cy="168910"/>
        </a:xfrm>
        <a:prstGeom prst="rect">
          <a:avLst/>
        </a:prstGeom>
      </xdr:spPr>
    </xdr:pic>
    <xdr:clientData/>
  </xdr:twoCellAnchor>
  <xdr:twoCellAnchor editAs="oneCell">
    <xdr:from>
      <xdr:col>1</xdr:col>
      <xdr:colOff>6586170</xdr:colOff>
      <xdr:row>10</xdr:row>
      <xdr:rowOff>100379</xdr:rowOff>
    </xdr:from>
    <xdr:to>
      <xdr:col>1</xdr:col>
      <xdr:colOff>6750026</xdr:colOff>
      <xdr:row>10</xdr:row>
      <xdr:rowOff>269621</xdr:rowOff>
    </xdr:to>
    <xdr:pic macro="[0]!Routine_1G">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757160" y="4281805"/>
          <a:ext cx="163830" cy="168910"/>
        </a:xfrm>
        <a:prstGeom prst="rect">
          <a:avLst/>
        </a:prstGeom>
      </xdr:spPr>
    </xdr:pic>
    <xdr:clientData/>
  </xdr:twoCellAnchor>
  <xdr:twoCellAnchor editAs="oneCell">
    <xdr:from>
      <xdr:col>2</xdr:col>
      <xdr:colOff>271095</xdr:colOff>
      <xdr:row>11</xdr:row>
      <xdr:rowOff>7327</xdr:rowOff>
    </xdr:from>
    <xdr:to>
      <xdr:col>2</xdr:col>
      <xdr:colOff>434951</xdr:colOff>
      <xdr:row>11</xdr:row>
      <xdr:rowOff>176569</xdr:rowOff>
    </xdr:to>
    <xdr:pic macro="[0]!Routine_3G">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33410" y="4569460"/>
          <a:ext cx="163830" cy="169545"/>
        </a:xfrm>
        <a:prstGeom prst="rect">
          <a:avLst/>
        </a:prstGeom>
      </xdr:spPr>
    </xdr:pic>
    <xdr:clientData/>
  </xdr:twoCellAnchor>
  <xdr:twoCellAnchor editAs="oneCell">
    <xdr:from>
      <xdr:col>2</xdr:col>
      <xdr:colOff>271095</xdr:colOff>
      <xdr:row>12</xdr:row>
      <xdr:rowOff>7327</xdr:rowOff>
    </xdr:from>
    <xdr:to>
      <xdr:col>2</xdr:col>
      <xdr:colOff>434951</xdr:colOff>
      <xdr:row>12</xdr:row>
      <xdr:rowOff>176569</xdr:rowOff>
    </xdr:to>
    <xdr:pic macro="[0]!Routine_3G">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33410" y="4950460"/>
          <a:ext cx="163830" cy="169545"/>
        </a:xfrm>
        <a:prstGeom prst="rect">
          <a:avLst/>
        </a:prstGeom>
      </xdr:spPr>
    </xdr:pic>
    <xdr:clientData/>
  </xdr:twoCellAnchor>
  <xdr:twoCellAnchor editAs="oneCell">
    <xdr:from>
      <xdr:col>2</xdr:col>
      <xdr:colOff>271095</xdr:colOff>
      <xdr:row>13</xdr:row>
      <xdr:rowOff>14654</xdr:rowOff>
    </xdr:from>
    <xdr:to>
      <xdr:col>2</xdr:col>
      <xdr:colOff>434951</xdr:colOff>
      <xdr:row>13</xdr:row>
      <xdr:rowOff>183896</xdr:rowOff>
    </xdr:to>
    <xdr:pic macro="[0]!Routine_4G">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33410" y="5339080"/>
          <a:ext cx="163830" cy="168910"/>
        </a:xfrm>
        <a:prstGeom prst="rect">
          <a:avLst/>
        </a:prstGeom>
      </xdr:spPr>
    </xdr:pic>
    <xdr:clientData/>
  </xdr:twoCellAnchor>
  <xdr:twoCellAnchor editAs="oneCell">
    <xdr:from>
      <xdr:col>2</xdr:col>
      <xdr:colOff>271095</xdr:colOff>
      <xdr:row>14</xdr:row>
      <xdr:rowOff>14654</xdr:rowOff>
    </xdr:from>
    <xdr:to>
      <xdr:col>2</xdr:col>
      <xdr:colOff>434951</xdr:colOff>
      <xdr:row>14</xdr:row>
      <xdr:rowOff>183896</xdr:rowOff>
    </xdr:to>
    <xdr:pic macro="[0]!Routine_5G">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33410" y="5720080"/>
          <a:ext cx="163830" cy="168910"/>
        </a:xfrm>
        <a:prstGeom prst="rect">
          <a:avLst/>
        </a:prstGeom>
      </xdr:spPr>
    </xdr:pic>
    <xdr:clientData/>
  </xdr:twoCellAnchor>
  <xdr:twoCellAnchor editAs="oneCell">
    <xdr:from>
      <xdr:col>2</xdr:col>
      <xdr:colOff>278422</xdr:colOff>
      <xdr:row>15</xdr:row>
      <xdr:rowOff>7327</xdr:rowOff>
    </xdr:from>
    <xdr:to>
      <xdr:col>2</xdr:col>
      <xdr:colOff>442278</xdr:colOff>
      <xdr:row>15</xdr:row>
      <xdr:rowOff>176569</xdr:rowOff>
    </xdr:to>
    <xdr:pic macro="[0]!Routine_6G">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41030" y="6093460"/>
          <a:ext cx="163830" cy="169545"/>
        </a:xfrm>
        <a:prstGeom prst="rect">
          <a:avLst/>
        </a:prstGeom>
      </xdr:spPr>
    </xdr:pic>
    <xdr:clientData/>
  </xdr:twoCellAnchor>
  <xdr:twoCellAnchor editAs="oneCell">
    <xdr:from>
      <xdr:col>2</xdr:col>
      <xdr:colOff>285751</xdr:colOff>
      <xdr:row>16</xdr:row>
      <xdr:rowOff>21981</xdr:rowOff>
    </xdr:from>
    <xdr:to>
      <xdr:col>2</xdr:col>
      <xdr:colOff>449607</xdr:colOff>
      <xdr:row>16</xdr:row>
      <xdr:rowOff>191223</xdr:rowOff>
    </xdr:to>
    <xdr:pic macro="[0]!Routine_7G">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48650" y="6489065"/>
          <a:ext cx="163830" cy="169545"/>
        </a:xfrm>
        <a:prstGeom prst="rect">
          <a:avLst/>
        </a:prstGeom>
      </xdr:spPr>
    </xdr:pic>
    <xdr:clientData/>
  </xdr:twoCellAnchor>
  <xdr:twoCellAnchor editAs="oneCell">
    <xdr:from>
      <xdr:col>2</xdr:col>
      <xdr:colOff>66676</xdr:colOff>
      <xdr:row>17</xdr:row>
      <xdr:rowOff>21980</xdr:rowOff>
    </xdr:from>
    <xdr:to>
      <xdr:col>2</xdr:col>
      <xdr:colOff>230532</xdr:colOff>
      <xdr:row>17</xdr:row>
      <xdr:rowOff>191222</xdr:rowOff>
    </xdr:to>
    <xdr:pic macro="[0]!Routine_8G">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029575" y="6870065"/>
          <a:ext cx="163830" cy="169545"/>
        </a:xfrm>
        <a:prstGeom prst="rect">
          <a:avLst/>
        </a:prstGeom>
      </xdr:spPr>
    </xdr:pic>
    <xdr:clientData/>
  </xdr:twoCellAnchor>
  <xdr:twoCellAnchor editAs="oneCell">
    <xdr:from>
      <xdr:col>2</xdr:col>
      <xdr:colOff>278424</xdr:colOff>
      <xdr:row>18</xdr:row>
      <xdr:rowOff>14654</xdr:rowOff>
    </xdr:from>
    <xdr:to>
      <xdr:col>2</xdr:col>
      <xdr:colOff>442280</xdr:colOff>
      <xdr:row>18</xdr:row>
      <xdr:rowOff>183896</xdr:rowOff>
    </xdr:to>
    <xdr:pic macro="[0]!Routine_9G">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41030" y="7244080"/>
          <a:ext cx="163830" cy="168910"/>
        </a:xfrm>
        <a:prstGeom prst="rect">
          <a:avLst/>
        </a:prstGeom>
      </xdr:spPr>
    </xdr:pic>
    <xdr:clientData/>
  </xdr:twoCellAnchor>
  <xdr:twoCellAnchor editAs="oneCell">
    <xdr:from>
      <xdr:col>1</xdr:col>
      <xdr:colOff>6621936</xdr:colOff>
      <xdr:row>19</xdr:row>
      <xdr:rowOff>15412</xdr:rowOff>
    </xdr:from>
    <xdr:to>
      <xdr:col>1</xdr:col>
      <xdr:colOff>6785792</xdr:colOff>
      <xdr:row>19</xdr:row>
      <xdr:rowOff>184654</xdr:rowOff>
    </xdr:to>
    <xdr:pic macro="[0]!Routine_10G">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7793355" y="7625715"/>
          <a:ext cx="163830" cy="168910"/>
        </a:xfrm>
        <a:prstGeom prst="rect">
          <a:avLst/>
        </a:prstGeom>
      </xdr:spPr>
    </xdr:pic>
    <xdr:clientData/>
  </xdr:twoCellAnchor>
  <xdr:twoCellAnchor editAs="oneCell">
    <xdr:from>
      <xdr:col>2</xdr:col>
      <xdr:colOff>278424</xdr:colOff>
      <xdr:row>21</xdr:row>
      <xdr:rowOff>14653</xdr:rowOff>
    </xdr:from>
    <xdr:to>
      <xdr:col>2</xdr:col>
      <xdr:colOff>442280</xdr:colOff>
      <xdr:row>21</xdr:row>
      <xdr:rowOff>183895</xdr:rowOff>
    </xdr:to>
    <xdr:pic macro="[0]!Routine_12G">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41030" y="8387080"/>
          <a:ext cx="163830" cy="168910"/>
        </a:xfrm>
        <a:prstGeom prst="rect">
          <a:avLst/>
        </a:prstGeom>
      </xdr:spPr>
    </xdr:pic>
    <xdr:clientData/>
  </xdr:twoCellAnchor>
  <xdr:twoCellAnchor editAs="oneCell">
    <xdr:from>
      <xdr:col>2</xdr:col>
      <xdr:colOff>278424</xdr:colOff>
      <xdr:row>17</xdr:row>
      <xdr:rowOff>21981</xdr:rowOff>
    </xdr:from>
    <xdr:to>
      <xdr:col>2</xdr:col>
      <xdr:colOff>442280</xdr:colOff>
      <xdr:row>17</xdr:row>
      <xdr:rowOff>191223</xdr:rowOff>
    </xdr:to>
    <xdr:pic macro="[0]!Routine_8_1G">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rcRect l="16889" t="16444" r="16889" b="16222"/>
        <a:stretch>
          <a:fillRect/>
        </a:stretch>
      </xdr:blipFill>
      <xdr:spPr>
        <a:xfrm>
          <a:off x="8241030" y="6870065"/>
          <a:ext cx="163830" cy="169545"/>
        </a:xfrm>
        <a:prstGeom prst="rect">
          <a:avLst/>
        </a:prstGeom>
      </xdr:spPr>
    </xdr:pic>
    <xdr:clientData/>
  </xdr:twoCellAnchor>
  <xdr:twoCellAnchor editAs="oneCell">
    <xdr:from>
      <xdr:col>7</xdr:col>
      <xdr:colOff>1404812</xdr:colOff>
      <xdr:row>0</xdr:row>
      <xdr:rowOff>80479</xdr:rowOff>
    </xdr:from>
    <xdr:to>
      <xdr:col>7</xdr:col>
      <xdr:colOff>2218537</xdr:colOff>
      <xdr:row>0</xdr:row>
      <xdr:rowOff>903439</xdr:rowOff>
    </xdr:to>
    <xdr:pic>
      <xdr:nvPicPr>
        <xdr:cNvPr id="20" name="Pictur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015595" y="80010"/>
          <a:ext cx="813435" cy="822960"/>
        </a:xfrm>
        <a:prstGeom prst="rect">
          <a:avLst/>
        </a:prstGeom>
      </xdr:spPr>
    </xdr:pic>
    <xdr:clientData/>
  </xdr:twoCellAnchor>
  <xdr:twoCellAnchor editAs="oneCell">
    <xdr:from>
      <xdr:col>1</xdr:col>
      <xdr:colOff>4271728</xdr:colOff>
      <xdr:row>0</xdr:row>
      <xdr:rowOff>78690</xdr:rowOff>
    </xdr:from>
    <xdr:to>
      <xdr:col>2</xdr:col>
      <xdr:colOff>428719</xdr:colOff>
      <xdr:row>0</xdr:row>
      <xdr:rowOff>901650</xdr:rowOff>
    </xdr:to>
    <xdr:pic>
      <xdr:nvPicPr>
        <xdr:cNvPr id="21" name="Picture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43220" y="78105"/>
          <a:ext cx="2948305" cy="82296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39994506668294322"/>
  </sheetPr>
  <dimension ref="A1:XFC55"/>
  <sheetViews>
    <sheetView tabSelected="1" topLeftCell="A10" zoomScaleSheetLayoutView="85" workbookViewId="0">
      <selection activeCell="C8" sqref="C8:F8"/>
    </sheetView>
  </sheetViews>
  <sheetFormatPr defaultColWidth="5.7109375" defaultRowHeight="15"/>
  <cols>
    <col min="1" max="1" width="16.5703125" style="49" customWidth="1"/>
    <col min="2" max="2" width="22" style="46" customWidth="1"/>
    <col min="3" max="3" width="18.42578125" style="46" customWidth="1"/>
    <col min="4" max="4" width="16.85546875" style="46" customWidth="1"/>
    <col min="5" max="5" width="32.140625" style="46" customWidth="1"/>
    <col min="6" max="6" width="16.85546875" style="46" customWidth="1"/>
    <col min="7" max="7" width="9.140625" style="49"/>
    <col min="8" max="8" width="11.28515625" style="49" customWidth="1"/>
    <col min="9" max="16375" width="5.7109375" style="49"/>
    <col min="16376" max="16384" width="20.7109375" style="49" hidden="1" customWidth="1"/>
  </cols>
  <sheetData>
    <row r="1" spans="1:9 16376:16383" ht="60" customHeight="1">
      <c r="A1" s="136"/>
      <c r="B1" s="136"/>
      <c r="C1" s="136"/>
      <c r="D1" s="136"/>
      <c r="E1" s="136"/>
      <c r="F1" s="136"/>
      <c r="XEV1" t="s">
        <v>0</v>
      </c>
      <c r="XEW1" t="s">
        <v>1</v>
      </c>
      <c r="XEX1" t="s">
        <v>2</v>
      </c>
      <c r="XEY1" t="s">
        <v>3</v>
      </c>
      <c r="XEZ1" t="s">
        <v>4</v>
      </c>
      <c r="XFA1" t="s">
        <v>5</v>
      </c>
      <c r="XFB1" t="s">
        <v>6</v>
      </c>
      <c r="XFC1" t="s">
        <v>7</v>
      </c>
    </row>
    <row r="2" spans="1:9 16376:16383" ht="18.75">
      <c r="A2" s="137" t="s">
        <v>8</v>
      </c>
      <c r="B2" s="137"/>
      <c r="C2" s="137"/>
      <c r="D2" s="137"/>
      <c r="E2" s="137"/>
      <c r="F2" s="137"/>
      <c r="XEV2" t="s">
        <v>9</v>
      </c>
      <c r="XEW2" t="s">
        <v>10</v>
      </c>
      <c r="XEX2" t="s">
        <v>11</v>
      </c>
      <c r="XEY2" t="s">
        <v>12</v>
      </c>
      <c r="XEZ2" t="s">
        <v>13</v>
      </c>
      <c r="XFA2" t="s">
        <v>14</v>
      </c>
      <c r="XFB2" t="s">
        <v>15</v>
      </c>
      <c r="XFC2" t="s">
        <v>7</v>
      </c>
    </row>
    <row r="3" spans="1:9 16376:16383" ht="17.45" customHeight="1">
      <c r="A3" s="129" t="s">
        <v>16</v>
      </c>
      <c r="B3" s="130"/>
      <c r="C3" s="138" t="s">
        <v>17</v>
      </c>
      <c r="D3" s="139"/>
      <c r="E3" s="139"/>
      <c r="F3" s="140"/>
      <c r="XEV3" t="s">
        <v>18</v>
      </c>
      <c r="XEW3" t="s">
        <v>19</v>
      </c>
      <c r="XEX3" t="s">
        <v>20</v>
      </c>
      <c r="XEY3" t="s">
        <v>21</v>
      </c>
      <c r="XEZ3" t="s">
        <v>22</v>
      </c>
      <c r="XFA3" t="s">
        <v>23</v>
      </c>
      <c r="XFB3" t="s">
        <v>24</v>
      </c>
      <c r="XFC3"/>
    </row>
    <row r="4" spans="1:9 16376:16383">
      <c r="A4" s="129" t="s">
        <v>25</v>
      </c>
      <c r="B4" s="130"/>
      <c r="C4" s="131" t="s">
        <v>26</v>
      </c>
      <c r="D4" s="132"/>
      <c r="E4" s="132"/>
      <c r="F4" s="133"/>
      <c r="XEV4" t="s">
        <v>27</v>
      </c>
      <c r="XEW4" t="s">
        <v>28</v>
      </c>
      <c r="XEX4" t="s">
        <v>29</v>
      </c>
      <c r="XEY4" t="s">
        <v>30</v>
      </c>
      <c r="XEZ4" t="s">
        <v>31</v>
      </c>
      <c r="XFA4" t="s">
        <v>32</v>
      </c>
      <c r="XFB4"/>
      <c r="XFC4"/>
    </row>
    <row r="5" spans="1:9 16376:16383">
      <c r="A5" s="129" t="s">
        <v>33</v>
      </c>
      <c r="B5" s="130"/>
      <c r="C5" s="83">
        <v>43631</v>
      </c>
      <c r="D5" s="84"/>
      <c r="E5" s="84"/>
      <c r="F5" s="85"/>
      <c r="H5" s="86"/>
      <c r="XEV5"/>
      <c r="XEW5" t="s">
        <v>34</v>
      </c>
      <c r="XEX5"/>
      <c r="XEY5" t="s">
        <v>35</v>
      </c>
      <c r="XEZ5" t="s">
        <v>36</v>
      </c>
      <c r="XFA5"/>
      <c r="XFB5"/>
      <c r="XFC5"/>
    </row>
    <row r="6" spans="1:9 16376:16383" ht="15" customHeight="1">
      <c r="A6" s="129" t="s">
        <v>37</v>
      </c>
      <c r="B6" s="130"/>
      <c r="C6" s="135"/>
      <c r="D6" s="132"/>
      <c r="E6" s="132"/>
      <c r="F6" s="133"/>
      <c r="H6" s="86"/>
      <c r="XEV6"/>
      <c r="XEW6" t="s">
        <v>38</v>
      </c>
      <c r="XEX6"/>
      <c r="XEY6"/>
      <c r="XEZ6"/>
      <c r="XFA6"/>
      <c r="XFB6"/>
      <c r="XFC6"/>
    </row>
    <row r="7" spans="1:9 16376:16383" ht="15" customHeight="1">
      <c r="A7" s="129" t="s">
        <v>39</v>
      </c>
      <c r="B7" s="130"/>
      <c r="C7" s="131" t="s">
        <v>40</v>
      </c>
      <c r="D7" s="132"/>
      <c r="E7" s="132"/>
      <c r="F7" s="133"/>
    </row>
    <row r="8" spans="1:9 16376:16383" ht="15" customHeight="1">
      <c r="A8" s="129" t="s">
        <v>41</v>
      </c>
      <c r="B8" s="130"/>
      <c r="C8" s="131" t="s">
        <v>42</v>
      </c>
      <c r="D8" s="132"/>
      <c r="E8" s="132"/>
      <c r="F8" s="133"/>
    </row>
    <row r="9" spans="1:9 16376:16383" ht="15" customHeight="1">
      <c r="A9" s="129" t="s">
        <v>43</v>
      </c>
      <c r="B9" s="130"/>
      <c r="C9" s="131" t="s">
        <v>3</v>
      </c>
      <c r="D9" s="132"/>
      <c r="E9" s="132"/>
      <c r="F9" s="133"/>
    </row>
    <row r="10" spans="1:9 16376:16383" ht="15" customHeight="1">
      <c r="A10" s="129" t="s">
        <v>44</v>
      </c>
      <c r="B10" s="130"/>
      <c r="C10" s="131" t="s">
        <v>30</v>
      </c>
      <c r="D10" s="132"/>
      <c r="E10" s="132"/>
      <c r="F10" s="133"/>
    </row>
    <row r="11" spans="1:9 16376:16383" ht="15" customHeight="1">
      <c r="A11" s="129" t="s">
        <v>45</v>
      </c>
      <c r="B11" s="130"/>
      <c r="C11" s="131" t="s">
        <v>46</v>
      </c>
      <c r="D11" s="132"/>
      <c r="E11" s="132"/>
      <c r="F11" s="133"/>
    </row>
    <row r="12" spans="1:9 16376:16383" ht="29.25" customHeight="1">
      <c r="A12" s="87" t="s">
        <v>47</v>
      </c>
      <c r="B12" s="88" t="s">
        <v>48</v>
      </c>
      <c r="C12" s="88" t="s">
        <v>49</v>
      </c>
      <c r="D12" s="88" t="s">
        <v>50</v>
      </c>
      <c r="E12" s="89" t="s">
        <v>51</v>
      </c>
      <c r="F12" s="89" t="s">
        <v>52</v>
      </c>
    </row>
    <row r="13" spans="1:9 16376:16383" ht="15" customHeight="1">
      <c r="A13" s="90" t="s">
        <v>53</v>
      </c>
      <c r="B13" s="91">
        <f>'PART -A (TL)'!G36</f>
        <v>303</v>
      </c>
      <c r="C13" s="91">
        <f>'PART -B (Research)'!H47</f>
        <v>146</v>
      </c>
      <c r="D13" s="91">
        <f>'PART-C(Governance)'!G23</f>
        <v>328</v>
      </c>
      <c r="E13" s="91">
        <f>IF((B13&amp;C13&amp;D13)="","",SUM(N(B13),N(C13),N(D13)))</f>
        <v>777</v>
      </c>
      <c r="F13" s="71"/>
      <c r="H13" s="92"/>
      <c r="I13" s="92"/>
    </row>
    <row r="14" spans="1:9 16376:16383">
      <c r="A14" s="93" t="s">
        <v>54</v>
      </c>
      <c r="B14" s="71"/>
      <c r="C14" s="71"/>
      <c r="D14" s="71"/>
      <c r="E14" s="71"/>
      <c r="F14" s="71"/>
    </row>
    <row r="15" spans="1:9 16376:16383">
      <c r="A15" s="93" t="s">
        <v>55</v>
      </c>
      <c r="B15" s="71"/>
      <c r="C15" s="71"/>
      <c r="D15" s="71"/>
      <c r="E15" s="71"/>
      <c r="F15" s="71"/>
    </row>
    <row r="16" spans="1:9 16376:16383" ht="18.75">
      <c r="A16" s="134" t="s">
        <v>56</v>
      </c>
      <c r="B16" s="134"/>
      <c r="C16" s="134"/>
      <c r="D16" s="134"/>
      <c r="E16" s="126">
        <f>IFERROR(IF(ISNUMBER(MATCH(TRIM(C8),{"School Dean","Admin Dean","School Dean/Admin Dean"},0)),(D13*0.4+C13*0.3+B13*0.3)/3.33,IF(TRIM(C8)="Level 10-",(D13*0.1+C13*0.3+B13*0.6)/3.33,IF(ISNUMBER(MATCH(TRIM(C8),{"Level 10","Level 11","Level 12"},0)),(D13*0.3+B13*0.35+C13*0.35)/3.33,IF(ISNUMBER(MATCH(TRIM(C8),{"Level 13A","Level 13B","Level 14"},0)),(D13*0.1+B13*0.3+C13*0.6)/3.33," "))))," ")</f>
        <v>77.597597597597584</v>
      </c>
      <c r="F16" s="126"/>
    </row>
    <row r="17" spans="1:6" ht="18.75">
      <c r="A17" s="134" t="s">
        <v>57</v>
      </c>
      <c r="B17" s="134"/>
      <c r="C17" s="134"/>
      <c r="D17" s="134"/>
      <c r="E17" s="126"/>
      <c r="F17" s="126"/>
    </row>
    <row r="18" spans="1:6" ht="18.75">
      <c r="A18" s="123" t="s">
        <v>58</v>
      </c>
      <c r="B18" s="124"/>
      <c r="C18" s="124"/>
      <c r="D18" s="125"/>
      <c r="E18" s="126">
        <f>IFERROR(AVERAGE(E16:F17),"")</f>
        <v>77.597597597597584</v>
      </c>
      <c r="F18" s="126"/>
    </row>
    <row r="19" spans="1:6" ht="18.75">
      <c r="A19" s="127" t="s">
        <v>59</v>
      </c>
      <c r="B19" s="127"/>
      <c r="C19" s="104" t="str">
        <f>IF(E18="","",IF(E18&gt;95,"A++",IF(E18&gt;85,"A+",IF(E18&gt;80,"A",IF(E18&gt;70,"B++",IF(E18&gt;60,"B+",IF(E18&gt;50,"B",IF(E18&gt;40,"C","D"))))))))</f>
        <v>B++</v>
      </c>
      <c r="D19" s="104"/>
      <c r="E19" s="94"/>
      <c r="F19" s="94"/>
    </row>
    <row r="20" spans="1:6" ht="15" customHeight="1">
      <c r="A20" s="94"/>
      <c r="B20" s="94"/>
      <c r="C20" s="104"/>
      <c r="D20" s="104"/>
      <c r="E20" s="94"/>
      <c r="F20" s="94"/>
    </row>
    <row r="21" spans="1:6" ht="14.25" customHeight="1">
      <c r="A21" s="94"/>
      <c r="B21" s="94"/>
      <c r="C21" s="104"/>
      <c r="D21" s="105"/>
      <c r="E21" s="94"/>
      <c r="F21" s="94"/>
    </row>
    <row r="22" spans="1:6" ht="15.75">
      <c r="A22" s="95" t="s">
        <v>60</v>
      </c>
      <c r="B22" s="95" t="s">
        <v>61</v>
      </c>
      <c r="C22" s="96" t="s">
        <v>62</v>
      </c>
      <c r="D22" s="128" t="s">
        <v>63</v>
      </c>
      <c r="E22" s="128"/>
      <c r="F22" s="95" t="s">
        <v>64</v>
      </c>
    </row>
    <row r="23" spans="1:6" ht="15.75">
      <c r="A23" s="108" t="s">
        <v>65</v>
      </c>
      <c r="B23" s="108" t="s">
        <v>66</v>
      </c>
      <c r="C23" s="97">
        <v>1</v>
      </c>
      <c r="D23" s="120" t="s">
        <v>67</v>
      </c>
      <c r="E23" s="120"/>
      <c r="F23" s="98">
        <v>273</v>
      </c>
    </row>
    <row r="24" spans="1:6" ht="15.75">
      <c r="A24" s="108"/>
      <c r="B24" s="108"/>
      <c r="C24" s="97">
        <v>2</v>
      </c>
      <c r="D24" s="120" t="s">
        <v>68</v>
      </c>
      <c r="E24" s="120">
        <v>100</v>
      </c>
      <c r="F24" s="98">
        <v>10</v>
      </c>
    </row>
    <row r="25" spans="1:6" ht="15.75">
      <c r="A25" s="108"/>
      <c r="B25" s="108"/>
      <c r="C25" s="97">
        <v>3</v>
      </c>
      <c r="D25" s="120" t="s">
        <v>69</v>
      </c>
      <c r="E25" s="120">
        <v>100</v>
      </c>
      <c r="F25" s="98">
        <v>50</v>
      </c>
    </row>
    <row r="26" spans="1:6" ht="15.75" customHeight="1">
      <c r="A26" s="109" t="s">
        <v>70</v>
      </c>
      <c r="B26" s="109" t="s">
        <v>71</v>
      </c>
      <c r="C26" s="97">
        <v>1</v>
      </c>
      <c r="D26" s="120" t="s">
        <v>72</v>
      </c>
      <c r="E26" s="120">
        <v>160</v>
      </c>
      <c r="F26" s="98">
        <v>163</v>
      </c>
    </row>
    <row r="27" spans="1:6" ht="15.75">
      <c r="A27" s="110"/>
      <c r="B27" s="110"/>
      <c r="C27" s="97">
        <v>2</v>
      </c>
      <c r="D27" s="120" t="s">
        <v>73</v>
      </c>
      <c r="E27" s="120">
        <v>160</v>
      </c>
      <c r="F27" s="98">
        <v>15</v>
      </c>
    </row>
    <row r="28" spans="1:6" ht="15.75">
      <c r="A28" s="110"/>
      <c r="B28" s="110"/>
      <c r="C28" s="97">
        <v>3</v>
      </c>
      <c r="D28" s="120" t="s">
        <v>74</v>
      </c>
      <c r="E28" s="120">
        <v>160</v>
      </c>
      <c r="F28" s="98">
        <v>8</v>
      </c>
    </row>
    <row r="29" spans="1:6" ht="15.75">
      <c r="A29" s="110"/>
      <c r="B29" s="110"/>
      <c r="C29" s="97">
        <v>4</v>
      </c>
      <c r="D29" s="120" t="s">
        <v>75</v>
      </c>
      <c r="E29" s="120">
        <v>50</v>
      </c>
      <c r="F29" s="98">
        <v>40</v>
      </c>
    </row>
    <row r="30" spans="1:6" ht="15.75" customHeight="1">
      <c r="A30" s="110"/>
      <c r="B30" s="110"/>
      <c r="C30" s="97">
        <v>5</v>
      </c>
      <c r="D30" s="114" t="s">
        <v>76</v>
      </c>
      <c r="E30" s="115"/>
      <c r="F30" s="98">
        <v>10</v>
      </c>
    </row>
    <row r="31" spans="1:6" ht="15.75" customHeight="1">
      <c r="A31" s="110"/>
      <c r="B31" s="110"/>
      <c r="C31" s="97">
        <v>6</v>
      </c>
      <c r="D31" s="114" t="s">
        <v>77</v>
      </c>
      <c r="E31" s="115"/>
      <c r="F31" s="99">
        <v>25</v>
      </c>
    </row>
    <row r="32" spans="1:6" ht="15.75" customHeight="1">
      <c r="A32" s="110"/>
      <c r="B32" s="110"/>
      <c r="C32" s="97">
        <v>7</v>
      </c>
      <c r="D32" s="114" t="s">
        <v>78</v>
      </c>
      <c r="E32" s="115"/>
      <c r="F32" s="99">
        <v>10</v>
      </c>
    </row>
    <row r="33" spans="1:6" ht="15.75" customHeight="1">
      <c r="A33" s="110"/>
      <c r="B33" s="110"/>
      <c r="C33" s="97">
        <v>8</v>
      </c>
      <c r="D33" s="121" t="s">
        <v>79</v>
      </c>
      <c r="E33" s="122"/>
      <c r="F33" s="99">
        <v>32</v>
      </c>
    </row>
    <row r="34" spans="1:6" ht="15.75" customHeight="1">
      <c r="A34" s="110"/>
      <c r="B34" s="110"/>
      <c r="C34" s="97">
        <v>9</v>
      </c>
      <c r="D34" s="120" t="s">
        <v>80</v>
      </c>
      <c r="E34" s="120"/>
      <c r="F34" s="99">
        <v>5</v>
      </c>
    </row>
    <row r="35" spans="1:6" ht="15.75">
      <c r="A35" s="111"/>
      <c r="B35" s="111"/>
      <c r="C35" s="97">
        <v>10</v>
      </c>
      <c r="D35" s="120" t="s">
        <v>81</v>
      </c>
      <c r="E35" s="120"/>
      <c r="F35" s="99">
        <v>25</v>
      </c>
    </row>
    <row r="36" spans="1:6" ht="15.75" customHeight="1">
      <c r="A36" s="109" t="s">
        <v>82</v>
      </c>
      <c r="B36" s="109" t="s">
        <v>83</v>
      </c>
      <c r="C36" s="97">
        <v>1</v>
      </c>
      <c r="D36" s="114" t="s">
        <v>84</v>
      </c>
      <c r="E36" s="115"/>
      <c r="F36" s="101">
        <v>333</v>
      </c>
    </row>
    <row r="37" spans="1:6" ht="15.75">
      <c r="A37" s="110"/>
      <c r="B37" s="110"/>
      <c r="C37" s="97">
        <v>2</v>
      </c>
      <c r="D37" s="114" t="s">
        <v>85</v>
      </c>
      <c r="E37" s="115"/>
      <c r="F37" s="102"/>
    </row>
    <row r="38" spans="1:6" ht="15.75">
      <c r="A38" s="110"/>
      <c r="B38" s="110"/>
      <c r="C38" s="97">
        <v>3</v>
      </c>
      <c r="D38" s="114" t="s">
        <v>86</v>
      </c>
      <c r="E38" s="115"/>
      <c r="F38" s="102"/>
    </row>
    <row r="39" spans="1:6" ht="15.75">
      <c r="A39" s="110"/>
      <c r="B39" s="110"/>
      <c r="C39" s="97">
        <v>4</v>
      </c>
      <c r="D39" s="114" t="s">
        <v>87</v>
      </c>
      <c r="E39" s="115"/>
      <c r="F39" s="102"/>
    </row>
    <row r="40" spans="1:6" ht="15.75">
      <c r="A40" s="111"/>
      <c r="B40" s="111"/>
      <c r="C40" s="97">
        <v>5</v>
      </c>
      <c r="D40" s="114" t="s">
        <v>88</v>
      </c>
      <c r="E40" s="115"/>
      <c r="F40" s="103"/>
    </row>
    <row r="41" spans="1:6" ht="15.75" customHeight="1">
      <c r="A41" s="116" t="s">
        <v>89</v>
      </c>
      <c r="B41" s="117"/>
      <c r="C41" s="117"/>
      <c r="D41" s="117"/>
      <c r="E41" s="118"/>
      <c r="F41" s="98">
        <f>SUM(F23:F40)</f>
        <v>999</v>
      </c>
    </row>
    <row r="42" spans="1:6" ht="15" customHeight="1"/>
    <row r="43" spans="1:6" ht="14.25" customHeight="1">
      <c r="A43" s="89" t="s">
        <v>90</v>
      </c>
      <c r="B43" s="119" t="s">
        <v>91</v>
      </c>
      <c r="C43" s="119"/>
      <c r="D43" s="119" t="s">
        <v>92</v>
      </c>
      <c r="E43" s="119"/>
      <c r="F43" s="89" t="s">
        <v>93</v>
      </c>
    </row>
    <row r="44" spans="1:6" ht="45.75" hidden="1" customHeight="1">
      <c r="A44" s="100">
        <v>1</v>
      </c>
      <c r="B44" s="112" t="s">
        <v>94</v>
      </c>
      <c r="C44" s="112"/>
      <c r="D44" s="113" t="s">
        <v>95</v>
      </c>
      <c r="E44" s="113"/>
      <c r="F44" s="100">
        <v>100</v>
      </c>
    </row>
    <row r="45" spans="1:6" ht="45.75" customHeight="1">
      <c r="A45" s="71">
        <v>1</v>
      </c>
      <c r="B45" s="106" t="s">
        <v>96</v>
      </c>
      <c r="C45" s="106"/>
      <c r="D45" s="107" t="s">
        <v>97</v>
      </c>
      <c r="E45" s="107"/>
      <c r="F45" s="71">
        <v>100</v>
      </c>
    </row>
    <row r="46" spans="1:6" ht="45.75" customHeight="1">
      <c r="A46" s="71">
        <f>A45+1</f>
        <v>2</v>
      </c>
      <c r="B46" s="106" t="s">
        <v>98</v>
      </c>
      <c r="C46" s="106"/>
      <c r="D46" s="107" t="s">
        <v>99</v>
      </c>
      <c r="E46" s="107"/>
      <c r="F46" s="71">
        <v>100</v>
      </c>
    </row>
    <row r="47" spans="1:6" ht="45.75" customHeight="1">
      <c r="A47" s="71">
        <f>A46+1</f>
        <v>3</v>
      </c>
      <c r="B47" s="106" t="s">
        <v>42</v>
      </c>
      <c r="C47" s="106"/>
      <c r="D47" s="107" t="s">
        <v>100</v>
      </c>
      <c r="E47" s="107"/>
      <c r="F47" s="71">
        <v>100</v>
      </c>
    </row>
    <row r="48" spans="1:6">
      <c r="A48" s="46"/>
      <c r="B48" s="92"/>
      <c r="C48" s="92"/>
      <c r="D48" s="92"/>
      <c r="E48" s="92"/>
    </row>
    <row r="49" ht="15" customHeight="1"/>
    <row r="50" ht="15" customHeight="1"/>
    <row r="51" ht="15" customHeight="1"/>
    <row r="52" ht="15" customHeight="1"/>
    <row r="53" ht="15" customHeight="1"/>
    <row r="54" ht="15" customHeight="1"/>
    <row r="55" ht="15" customHeight="1"/>
  </sheetData>
  <sheetProtection password="BCCA" sheet="1" objects="1" scenarios="1"/>
  <mergeCells count="64">
    <mergeCell ref="A1:F1"/>
    <mergeCell ref="A2:F2"/>
    <mergeCell ref="A3:B3"/>
    <mergeCell ref="C3:F3"/>
    <mergeCell ref="A4:B4"/>
    <mergeCell ref="C4:F4"/>
    <mergeCell ref="A5:B5"/>
    <mergeCell ref="A6:B6"/>
    <mergeCell ref="C6:F6"/>
    <mergeCell ref="A7:B7"/>
    <mergeCell ref="C7:F7"/>
    <mergeCell ref="A8:B8"/>
    <mergeCell ref="C8:F8"/>
    <mergeCell ref="A9:B9"/>
    <mergeCell ref="C9:F9"/>
    <mergeCell ref="A10:B10"/>
    <mergeCell ref="C10:F10"/>
    <mergeCell ref="A11:B11"/>
    <mergeCell ref="C11:F11"/>
    <mergeCell ref="A16:D16"/>
    <mergeCell ref="E16:F16"/>
    <mergeCell ref="A17:D17"/>
    <mergeCell ref="E17:F17"/>
    <mergeCell ref="A18:D18"/>
    <mergeCell ref="E18:F18"/>
    <mergeCell ref="A19:B19"/>
    <mergeCell ref="D22:E22"/>
    <mergeCell ref="D23:E23"/>
    <mergeCell ref="D24:E24"/>
    <mergeCell ref="D25:E25"/>
    <mergeCell ref="D26:E26"/>
    <mergeCell ref="D27:E27"/>
    <mergeCell ref="D28:E28"/>
    <mergeCell ref="D29:E29"/>
    <mergeCell ref="D30:E30"/>
    <mergeCell ref="D31:E31"/>
    <mergeCell ref="D32:E32"/>
    <mergeCell ref="D33:E33"/>
    <mergeCell ref="D34:E34"/>
    <mergeCell ref="D35:E35"/>
    <mergeCell ref="D36:E36"/>
    <mergeCell ref="D37:E37"/>
    <mergeCell ref="D38:E38"/>
    <mergeCell ref="D39:E39"/>
    <mergeCell ref="D40:E40"/>
    <mergeCell ref="A41:E41"/>
    <mergeCell ref="B43:C43"/>
    <mergeCell ref="D43:E43"/>
    <mergeCell ref="F36:F40"/>
    <mergeCell ref="C19:D21"/>
    <mergeCell ref="B47:C47"/>
    <mergeCell ref="D47:E47"/>
    <mergeCell ref="A23:A25"/>
    <mergeCell ref="A26:A35"/>
    <mergeCell ref="A36:A40"/>
    <mergeCell ref="B23:B25"/>
    <mergeCell ref="B26:B35"/>
    <mergeCell ref="B36:B40"/>
    <mergeCell ref="B44:C44"/>
    <mergeCell ref="D44:E44"/>
    <mergeCell ref="B45:C45"/>
    <mergeCell ref="D45:E45"/>
    <mergeCell ref="B46:C46"/>
    <mergeCell ref="D46:E46"/>
  </mergeCells>
  <dataValidations count="6">
    <dataValidation type="list" allowBlank="1" showInputMessage="1" showErrorMessage="1" sqref="C4:F4" xr:uid="{00000000-0002-0000-0000-000000000000}">
      <formula1>"PG,Ph.D"</formula1>
    </dataValidation>
    <dataValidation type="list" allowBlank="1" showInputMessage="1" showErrorMessage="1" sqref="C7:F7" xr:uid="{00000000-0002-0000-0000-000001000000}">
      <formula1>"Assistant Professor,Associate Professor,Professor"</formula1>
    </dataValidation>
    <dataValidation type="list" allowBlank="1" showInputMessage="1" showErrorMessage="1" sqref="C8:F8" xr:uid="{00000000-0002-0000-0000-000002000000}">
      <formula1>"Level 10,Level 11,Level 12,Level 10-,Level 13A,Level 13B,Level 14,School Dean/Admin Dean"</formula1>
    </dataValidation>
    <dataValidation type="list" allowBlank="1" showInputMessage="1" showErrorMessage="1" sqref="C9" xr:uid="{00000000-0002-0000-0000-000003000000}">
      <formula1>$XEV$1:$XFC$1</formula1>
    </dataValidation>
    <dataValidation type="list" allowBlank="1" showInputMessage="1" showErrorMessage="1" sqref="C10" xr:uid="{00000000-0002-0000-0000-000004000000}">
      <formula1>OFFSET($XEV$2,0,MATCH($C$9,$XEV$1:$XFC$1,0)-1,COUNTA(OFFSET($XEV$2,0,MATCH($C$9,$XEV$1:$XFC$1,0)-1,100)),1)</formula1>
    </dataValidation>
    <dataValidation type="list" allowBlank="1" showInputMessage="1" showErrorMessage="1" sqref="C11:F11" xr:uid="{00000000-0002-0000-0000-000005000000}">
      <formula1>"Guntur,Hyderabad"</formula1>
    </dataValidation>
  </dataValidations>
  <printOptions horizontalCentered="1"/>
  <pageMargins left="0.25" right="0.25" top="0.75" bottom="0.75" header="0.3" footer="0.3"/>
  <pageSetup paperSize="9"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59999389629810485"/>
  </sheetPr>
  <dimension ref="A1:Q75"/>
  <sheetViews>
    <sheetView topLeftCell="A13" zoomScale="71" zoomScaleNormal="71" zoomScaleSheetLayoutView="70" workbookViewId="0">
      <selection activeCell="D3" sqref="D3"/>
    </sheetView>
  </sheetViews>
  <sheetFormatPr defaultColWidth="9.140625" defaultRowHeight="15"/>
  <cols>
    <col min="1" max="1" width="26.85546875" style="74" customWidth="1"/>
    <col min="2" max="2" width="17.85546875" style="75" customWidth="1"/>
    <col min="3" max="3" width="70.140625" style="75" customWidth="1"/>
    <col min="4" max="4" width="17.5703125" style="76" customWidth="1"/>
    <col min="5" max="5" width="10.7109375" style="77" customWidth="1"/>
    <col min="6" max="6" width="10" style="74" customWidth="1"/>
    <col min="7" max="7" width="13.85546875" style="77" customWidth="1"/>
    <col min="8" max="8" width="28.28515625" style="74" customWidth="1"/>
    <col min="9" max="16384" width="9.140625" style="74"/>
  </cols>
  <sheetData>
    <row r="1" spans="1:11" ht="78" customHeight="1">
      <c r="A1" s="149"/>
      <c r="B1" s="149"/>
      <c r="C1" s="149"/>
      <c r="D1" s="149"/>
      <c r="E1" s="149"/>
      <c r="F1" s="149"/>
      <c r="G1" s="149"/>
      <c r="H1" s="149"/>
    </row>
    <row r="2" spans="1:11" s="73" customFormat="1" ht="31.5">
      <c r="A2" s="150" t="s">
        <v>101</v>
      </c>
      <c r="B2" s="150"/>
      <c r="C2" s="150"/>
      <c r="D2" s="16" t="s">
        <v>102</v>
      </c>
      <c r="E2" s="16" t="s">
        <v>103</v>
      </c>
      <c r="F2" s="16" t="s">
        <v>104</v>
      </c>
      <c r="G2" s="16" t="s">
        <v>105</v>
      </c>
      <c r="H2" s="16" t="s">
        <v>106</v>
      </c>
    </row>
    <row r="3" spans="1:11" ht="30" customHeight="1">
      <c r="A3" s="144" t="s">
        <v>107</v>
      </c>
      <c r="B3" s="147" t="s">
        <v>108</v>
      </c>
      <c r="C3" s="31" t="s">
        <v>109</v>
      </c>
      <c r="D3" s="18">
        <v>25</v>
      </c>
      <c r="E3" s="78" t="s">
        <v>110</v>
      </c>
      <c r="F3" s="68">
        <f>IF(E3="Yes",D3,IF(E3="No",0," "))</f>
        <v>25</v>
      </c>
      <c r="G3" s="153">
        <f>IF(SUM(F3:F17),SUM(F3:F17)," ")</f>
        <v>263</v>
      </c>
      <c r="H3" s="23" t="str">
        <f>IF(OR(D3="",E3="",F3=""),"",IF(AND(ISNUMBER(D3),ISNUMBER(F3)),IF(F3&gt;0.9*D3,"Congratulations, you have achieved the target!",IF(F3&lt;0.1*D3,"There is scope for improvement","Good, achievable target is not far away")),""))</f>
        <v>Congratulations, you have achieved the target!</v>
      </c>
    </row>
    <row r="4" spans="1:11" ht="30" customHeight="1">
      <c r="A4" s="145"/>
      <c r="B4" s="147"/>
      <c r="C4" s="31" t="s">
        <v>111</v>
      </c>
      <c r="D4" s="18">
        <v>12</v>
      </c>
      <c r="E4" s="78" t="s">
        <v>110</v>
      </c>
      <c r="F4" s="68">
        <f>IF(E4="Yes",D4,IF(E4="No",0," "))</f>
        <v>12</v>
      </c>
      <c r="G4" s="154"/>
      <c r="H4" s="23" t="str">
        <f t="shared" ref="H4:H17" si="0">IF(OR(D4="",E4="",F4=""),"",IF(AND(ISNUMBER(D4),ISNUMBER(F4)),IF(F4&gt;0.9*D4,"Congratulations, you have achieved the target!",IF(F4&lt;0.1*D4,"There is scope for improvement","Good, achievable target is not far away")),""))</f>
        <v>Congratulations, you have achieved the target!</v>
      </c>
      <c r="I4"/>
    </row>
    <row r="5" spans="1:11" ht="30" customHeight="1">
      <c r="A5" s="145"/>
      <c r="B5" s="147"/>
      <c r="C5" s="31" t="s">
        <v>112</v>
      </c>
      <c r="D5" s="18">
        <v>16</v>
      </c>
      <c r="E5" s="78">
        <v>4</v>
      </c>
      <c r="F5" s="63">
        <f>IF(E5="","",IF(E5=4,D5,IF(E5=3,0.8*D5,IF(E5=2,0.7*D5,IF(E5=1,0.6*D5,IF(E5&lt;=0,0,""))))))</f>
        <v>16</v>
      </c>
      <c r="G5" s="154"/>
      <c r="H5" s="23" t="str">
        <f t="shared" si="0"/>
        <v>Congratulations, you have achieved the target!</v>
      </c>
    </row>
    <row r="6" spans="1:11" ht="26.25" customHeight="1">
      <c r="A6" s="145"/>
      <c r="B6" s="147"/>
      <c r="C6" s="31" t="s">
        <v>113</v>
      </c>
      <c r="D6" s="18">
        <v>20</v>
      </c>
      <c r="E6" s="78">
        <v>95</v>
      </c>
      <c r="F6" s="68">
        <f>IF(E6="","",IF(E6&gt;=95,D6,IF(E6&gt;=90,0.9*D6,IF(E6&gt;=85,0.8*D6,IF(E6&gt;=80,0.7*D6,IF(E6&gt;=75,0.6*D6,0))))))</f>
        <v>20</v>
      </c>
      <c r="G6" s="154"/>
      <c r="H6" s="23" t="str">
        <f t="shared" si="0"/>
        <v>Congratulations, you have achieved the target!</v>
      </c>
    </row>
    <row r="7" spans="1:11" ht="31.5">
      <c r="A7" s="145"/>
      <c r="B7" s="147"/>
      <c r="C7" s="31" t="s">
        <v>114</v>
      </c>
      <c r="D7" s="18">
        <v>20</v>
      </c>
      <c r="E7" s="78" t="s">
        <v>115</v>
      </c>
      <c r="F7" s="63">
        <f>IF(E7="","",IF(E7="&gt;=1",D7,0))</f>
        <v>20</v>
      </c>
      <c r="G7" s="154"/>
      <c r="H7" s="23" t="str">
        <f t="shared" si="0"/>
        <v>Congratulations, you have achieved the target!</v>
      </c>
    </row>
    <row r="8" spans="1:11" ht="31.5">
      <c r="A8" s="145"/>
      <c r="B8" s="147"/>
      <c r="C8" s="31" t="s">
        <v>116</v>
      </c>
      <c r="D8" s="18">
        <v>15</v>
      </c>
      <c r="E8" s="78" t="s">
        <v>115</v>
      </c>
      <c r="F8" s="63">
        <f>IF(E8="","",IF(E8="&gt;=1",D8,0))</f>
        <v>15</v>
      </c>
      <c r="G8" s="154"/>
      <c r="H8" s="23" t="str">
        <f t="shared" si="0"/>
        <v>Congratulations, you have achieved the target!</v>
      </c>
    </row>
    <row r="9" spans="1:11" ht="30" customHeight="1">
      <c r="A9" s="145"/>
      <c r="B9" s="147"/>
      <c r="C9" s="31" t="s">
        <v>117</v>
      </c>
      <c r="D9" s="18">
        <v>50</v>
      </c>
      <c r="E9" s="78" t="s">
        <v>110</v>
      </c>
      <c r="F9" s="68">
        <f t="shared" ref="F9:F14" si="1">IF(E9="Yes",D9,IF(E9="No",0," "))</f>
        <v>50</v>
      </c>
      <c r="G9" s="154"/>
      <c r="H9" s="23" t="str">
        <f t="shared" si="0"/>
        <v>Congratulations, you have achieved the target!</v>
      </c>
    </row>
    <row r="10" spans="1:11" ht="30" customHeight="1">
      <c r="A10" s="145"/>
      <c r="B10" s="147"/>
      <c r="C10" s="31" t="s">
        <v>118</v>
      </c>
      <c r="D10" s="18">
        <v>20</v>
      </c>
      <c r="E10" s="78" t="s">
        <v>110</v>
      </c>
      <c r="F10" s="68">
        <f t="shared" si="1"/>
        <v>20</v>
      </c>
      <c r="G10" s="154"/>
      <c r="H10" s="23" t="str">
        <f t="shared" si="0"/>
        <v>Congratulations, you have achieved the target!</v>
      </c>
    </row>
    <row r="11" spans="1:11" ht="47.25">
      <c r="A11" s="145"/>
      <c r="B11" s="147"/>
      <c r="C11" s="31" t="s">
        <v>119</v>
      </c>
      <c r="D11" s="18">
        <v>20</v>
      </c>
      <c r="E11" s="78" t="s">
        <v>110</v>
      </c>
      <c r="F11" s="68">
        <f t="shared" si="1"/>
        <v>20</v>
      </c>
      <c r="G11" s="154"/>
      <c r="H11" s="23" t="str">
        <f t="shared" si="0"/>
        <v>Congratulations, you have achieved the target!</v>
      </c>
    </row>
    <row r="12" spans="1:11" ht="31.5">
      <c r="A12" s="145"/>
      <c r="B12" s="147"/>
      <c r="C12" s="31" t="s">
        <v>120</v>
      </c>
      <c r="D12" s="18">
        <v>10</v>
      </c>
      <c r="E12" s="78" t="s">
        <v>121</v>
      </c>
      <c r="F12" s="68">
        <f t="shared" si="1"/>
        <v>0</v>
      </c>
      <c r="G12" s="154"/>
      <c r="H12" s="23" t="str">
        <f t="shared" si="0"/>
        <v>There is scope for improvement</v>
      </c>
    </row>
    <row r="13" spans="1:11" ht="31.5">
      <c r="A13" s="145"/>
      <c r="B13" s="148" t="s">
        <v>122</v>
      </c>
      <c r="C13" s="31" t="s">
        <v>123</v>
      </c>
      <c r="D13" s="18">
        <v>15</v>
      </c>
      <c r="E13" s="78" t="s">
        <v>110</v>
      </c>
      <c r="F13" s="68">
        <f t="shared" si="1"/>
        <v>15</v>
      </c>
      <c r="G13" s="154"/>
      <c r="H13" s="23" t="str">
        <f t="shared" si="0"/>
        <v>Congratulations, you have achieved the target!</v>
      </c>
      <c r="I13" s="73"/>
      <c r="J13" s="73"/>
      <c r="K13" s="73"/>
    </row>
    <row r="14" spans="1:11" ht="30" customHeight="1">
      <c r="A14" s="145"/>
      <c r="B14" s="148"/>
      <c r="C14" s="31" t="s">
        <v>124</v>
      </c>
      <c r="D14" s="18">
        <v>10</v>
      </c>
      <c r="E14" s="78" t="s">
        <v>110</v>
      </c>
      <c r="F14" s="68">
        <f t="shared" si="1"/>
        <v>10</v>
      </c>
      <c r="G14" s="154"/>
      <c r="H14" s="23" t="str">
        <f t="shared" si="0"/>
        <v>Congratulations, you have achieved the target!</v>
      </c>
      <c r="I14" s="73"/>
      <c r="J14" s="73"/>
      <c r="K14" s="73"/>
    </row>
    <row r="15" spans="1:11" s="73" customFormat="1" ht="30" customHeight="1">
      <c r="A15" s="145"/>
      <c r="B15" s="148"/>
      <c r="C15" s="31" t="s">
        <v>125</v>
      </c>
      <c r="D15" s="18">
        <v>10</v>
      </c>
      <c r="E15" s="78">
        <v>100</v>
      </c>
      <c r="F15" s="68">
        <f>IF(E15="","",IF(E15&gt;=95,D15,IF(E15&gt;=90,0.8*D15,IF(E15&gt;=85,0.6*D15,IF(E15&gt;=80,0.4*D15,0)))))</f>
        <v>10</v>
      </c>
      <c r="G15" s="154"/>
      <c r="H15" s="23" t="str">
        <f t="shared" si="0"/>
        <v>Congratulations, you have achieved the target!</v>
      </c>
    </row>
    <row r="16" spans="1:11" s="73" customFormat="1" ht="30" customHeight="1">
      <c r="A16" s="145"/>
      <c r="B16" s="148"/>
      <c r="C16" s="31" t="s">
        <v>126</v>
      </c>
      <c r="D16" s="18">
        <v>10</v>
      </c>
      <c r="E16" s="78">
        <v>100</v>
      </c>
      <c r="F16" s="68">
        <f>IF(E16="","",IF(E16&gt;=95,D16,IF(E16&gt;=90,0.8*D16,IF(E16&gt;=85,0.6*D16,IF(E16&gt;=80,0.4*D16,0)))))</f>
        <v>10</v>
      </c>
      <c r="G16" s="154"/>
      <c r="H16" s="23" t="str">
        <f t="shared" si="0"/>
        <v>Congratulations, you have achieved the target!</v>
      </c>
    </row>
    <row r="17" spans="1:17" ht="30" customHeight="1">
      <c r="A17" s="145"/>
      <c r="B17" s="148"/>
      <c r="C17" s="31" t="s">
        <v>127</v>
      </c>
      <c r="D17" s="18">
        <v>20</v>
      </c>
      <c r="E17" s="78">
        <v>100</v>
      </c>
      <c r="F17" s="68">
        <f>IF(E17="","",IF(E17&gt;=95,D17,IF(E17&gt;=90,0.8*D17,IF(E17&gt;=85,0.6*D17,IF(E17&gt;=80,0.4*D17,0)))))</f>
        <v>20</v>
      </c>
      <c r="G17" s="155"/>
      <c r="H17" s="23" t="str">
        <f t="shared" si="0"/>
        <v>Congratulations, you have achieved the target!</v>
      </c>
      <c r="I17" s="73"/>
      <c r="J17" s="73"/>
      <c r="K17" s="73"/>
      <c r="L17" s="73"/>
    </row>
    <row r="18" spans="1:17">
      <c r="A18" s="145"/>
      <c r="B18" s="151" t="s">
        <v>128</v>
      </c>
      <c r="C18" s="151"/>
      <c r="D18" s="151"/>
      <c r="E18" s="151"/>
      <c r="F18" s="151"/>
      <c r="G18" s="151"/>
      <c r="I18" s="79" t="s">
        <v>129</v>
      </c>
      <c r="J18" s="79"/>
      <c r="K18" s="79"/>
      <c r="L18" s="79"/>
      <c r="M18" s="79"/>
      <c r="N18" s="79"/>
      <c r="O18" s="79"/>
      <c r="P18" s="79"/>
      <c r="Q18" s="79"/>
    </row>
    <row r="19" spans="1:17" ht="30" customHeight="1">
      <c r="A19" s="145"/>
      <c r="B19" s="148" t="s">
        <v>130</v>
      </c>
      <c r="C19" s="31" t="s">
        <v>109</v>
      </c>
      <c r="D19" s="18">
        <v>25</v>
      </c>
      <c r="E19" s="78"/>
      <c r="F19" s="68" t="str">
        <f>IF(E19="Yes",D19,IF(E19="No",0," "))</f>
        <v xml:space="preserve"> </v>
      </c>
      <c r="G19" s="153" t="str">
        <f>IF(SUM(F19:F33),SUM(F19:F33)," ")</f>
        <v xml:space="preserve"> </v>
      </c>
      <c r="H19" s="23" t="str">
        <f t="shared" ref="H19:H35" si="2">IF(OR(D19="",E19="",F19=""),"",IF(AND(ISNUMBER(D19),ISNUMBER(F19)),IF(F19&gt;0.9*D19,"Congratulations, you have achieved the target!",IF(F19&lt;0.1*D19,"There is scope for improvement","Good, achievable target is not far away")),""))</f>
        <v/>
      </c>
    </row>
    <row r="20" spans="1:17" ht="30" customHeight="1">
      <c r="A20" s="145"/>
      <c r="B20" s="148"/>
      <c r="C20" s="31" t="s">
        <v>111</v>
      </c>
      <c r="D20" s="18">
        <v>12</v>
      </c>
      <c r="E20" s="78"/>
      <c r="F20" s="68" t="str">
        <f>IF(E20="Yes",D20,IF(E20="No",0," "))</f>
        <v xml:space="preserve"> </v>
      </c>
      <c r="G20" s="154"/>
      <c r="H20" s="23" t="str">
        <f t="shared" si="2"/>
        <v/>
      </c>
    </row>
    <row r="21" spans="1:17" ht="30" customHeight="1">
      <c r="A21" s="145"/>
      <c r="B21" s="148"/>
      <c r="C21" s="31" t="s">
        <v>112</v>
      </c>
      <c r="D21" s="18">
        <v>16</v>
      </c>
      <c r="E21" s="78"/>
      <c r="F21" s="63" t="str">
        <f>IF(E21="","",IF(E21=4,D21,IF(E21=3,0.8*D21,IF(E21=2,0.7*D21,IF(E21=1,0.6*D21,IF(E21&lt;=0,0,""))))))</f>
        <v/>
      </c>
      <c r="G21" s="154"/>
      <c r="H21" s="23" t="str">
        <f t="shared" si="2"/>
        <v/>
      </c>
    </row>
    <row r="22" spans="1:17" ht="30" customHeight="1">
      <c r="A22" s="145"/>
      <c r="B22" s="148"/>
      <c r="C22" s="31" t="s">
        <v>113</v>
      </c>
      <c r="D22" s="18">
        <v>20</v>
      </c>
      <c r="E22" s="78"/>
      <c r="F22" s="68" t="str">
        <f>IF(E22="","",IF(E22&gt;=95,D22,IF(E22&gt;=90,0.9*D22,IF(E22&gt;=85,0.8*D22,IF(E22&gt;=80,0.7*D22,IF(E22&gt;=75,0.6*D22,0))))))</f>
        <v/>
      </c>
      <c r="G22" s="154"/>
      <c r="H22" s="23" t="str">
        <f t="shared" si="2"/>
        <v/>
      </c>
    </row>
    <row r="23" spans="1:17" ht="30" customHeight="1">
      <c r="A23" s="145"/>
      <c r="B23" s="148"/>
      <c r="C23" s="31" t="s">
        <v>114</v>
      </c>
      <c r="D23" s="18">
        <v>20</v>
      </c>
      <c r="E23" s="78"/>
      <c r="F23" s="63" t="str">
        <f>IF(E23="","",IF(E23="&gt;=1",D23,0))</f>
        <v/>
      </c>
      <c r="G23" s="154"/>
      <c r="H23" s="23" t="str">
        <f t="shared" si="2"/>
        <v/>
      </c>
    </row>
    <row r="24" spans="1:17" ht="30" customHeight="1">
      <c r="A24" s="145"/>
      <c r="B24" s="148"/>
      <c r="C24" s="31" t="s">
        <v>116</v>
      </c>
      <c r="D24" s="18">
        <v>15</v>
      </c>
      <c r="E24" s="78"/>
      <c r="F24" s="63" t="str">
        <f>IF(E24="","",IF(E24="&gt;=1",D24,0))</f>
        <v/>
      </c>
      <c r="G24" s="154"/>
      <c r="H24" s="23" t="str">
        <f t="shared" si="2"/>
        <v/>
      </c>
    </row>
    <row r="25" spans="1:17" ht="30" customHeight="1">
      <c r="A25" s="145"/>
      <c r="B25" s="148"/>
      <c r="C25" s="31" t="s">
        <v>117</v>
      </c>
      <c r="D25" s="18">
        <v>50</v>
      </c>
      <c r="E25" s="78"/>
      <c r="F25" s="68" t="str">
        <f t="shared" ref="F25:F30" si="3">IF(E25="Yes",D25,IF(E25="No",0," "))</f>
        <v xml:space="preserve"> </v>
      </c>
      <c r="G25" s="154"/>
      <c r="H25" s="23" t="str">
        <f t="shared" si="2"/>
        <v/>
      </c>
    </row>
    <row r="26" spans="1:17" ht="30" customHeight="1">
      <c r="A26" s="145"/>
      <c r="B26" s="148"/>
      <c r="C26" s="31" t="s">
        <v>118</v>
      </c>
      <c r="D26" s="18">
        <v>20</v>
      </c>
      <c r="E26" s="78"/>
      <c r="F26" s="68" t="str">
        <f t="shared" si="3"/>
        <v xml:space="preserve"> </v>
      </c>
      <c r="G26" s="154"/>
      <c r="H26" s="23" t="str">
        <f t="shared" si="2"/>
        <v/>
      </c>
    </row>
    <row r="27" spans="1:17" ht="30" customHeight="1">
      <c r="A27" s="145"/>
      <c r="B27" s="148"/>
      <c r="C27" s="31" t="s">
        <v>119</v>
      </c>
      <c r="D27" s="18">
        <v>20</v>
      </c>
      <c r="E27" s="78"/>
      <c r="F27" s="68" t="str">
        <f t="shared" si="3"/>
        <v xml:space="preserve"> </v>
      </c>
      <c r="G27" s="154"/>
      <c r="H27" s="23" t="str">
        <f t="shared" si="2"/>
        <v/>
      </c>
    </row>
    <row r="28" spans="1:17" ht="30" customHeight="1">
      <c r="A28" s="145"/>
      <c r="B28" s="148"/>
      <c r="C28" s="31" t="s">
        <v>120</v>
      </c>
      <c r="D28" s="18">
        <v>10</v>
      </c>
      <c r="E28" s="78"/>
      <c r="F28" s="68" t="str">
        <f t="shared" si="3"/>
        <v xml:space="preserve"> </v>
      </c>
      <c r="G28" s="154"/>
      <c r="H28" s="23" t="str">
        <f t="shared" si="2"/>
        <v/>
      </c>
    </row>
    <row r="29" spans="1:17" ht="30" customHeight="1">
      <c r="A29" s="145"/>
      <c r="B29" s="148" t="s">
        <v>122</v>
      </c>
      <c r="C29" s="31" t="s">
        <v>123</v>
      </c>
      <c r="D29" s="18">
        <v>15</v>
      </c>
      <c r="E29" s="78"/>
      <c r="F29" s="68" t="str">
        <f t="shared" si="3"/>
        <v xml:space="preserve"> </v>
      </c>
      <c r="G29" s="154"/>
      <c r="H29" s="23" t="str">
        <f t="shared" si="2"/>
        <v/>
      </c>
    </row>
    <row r="30" spans="1:17" ht="30" customHeight="1">
      <c r="A30" s="145"/>
      <c r="B30" s="148"/>
      <c r="C30" s="31" t="s">
        <v>124</v>
      </c>
      <c r="D30" s="18">
        <v>10</v>
      </c>
      <c r="E30" s="78"/>
      <c r="F30" s="68" t="str">
        <f t="shared" si="3"/>
        <v xml:space="preserve"> </v>
      </c>
      <c r="G30" s="154"/>
      <c r="H30" s="23" t="str">
        <f t="shared" si="2"/>
        <v/>
      </c>
    </row>
    <row r="31" spans="1:17" ht="30" customHeight="1">
      <c r="A31" s="145"/>
      <c r="B31" s="148"/>
      <c r="C31" s="31" t="s">
        <v>125</v>
      </c>
      <c r="D31" s="18">
        <v>10</v>
      </c>
      <c r="E31" s="78"/>
      <c r="F31" s="68" t="str">
        <f>IF(E31="","",IF(E31&gt;=95,D31,IF(E31&gt;=90,0.8*D31,IF(E31&gt;=85,0.6*D31,IF(E31&gt;=80,0.4*D31,0)))))</f>
        <v/>
      </c>
      <c r="G31" s="154"/>
      <c r="H31" s="23" t="str">
        <f t="shared" si="2"/>
        <v/>
      </c>
    </row>
    <row r="32" spans="1:17" ht="30" customHeight="1">
      <c r="A32" s="145"/>
      <c r="B32" s="148"/>
      <c r="C32" s="31" t="s">
        <v>126</v>
      </c>
      <c r="D32" s="18">
        <v>10</v>
      </c>
      <c r="E32" s="78"/>
      <c r="F32" s="68" t="str">
        <f>IF(E32="","",IF(E32&gt;=95,D32,IF(E32&gt;=90,0.8*D32,IF(E32&gt;=85,0.6*D32,IF(E32&gt;=80,0.4*D32,0)))))</f>
        <v/>
      </c>
      <c r="G32" s="154"/>
      <c r="H32" s="23" t="str">
        <f t="shared" si="2"/>
        <v/>
      </c>
    </row>
    <row r="33" spans="1:8" ht="30" customHeight="1">
      <c r="A33" s="146"/>
      <c r="B33" s="148"/>
      <c r="C33" s="31" t="s">
        <v>127</v>
      </c>
      <c r="D33" s="18">
        <v>20</v>
      </c>
      <c r="E33" s="78"/>
      <c r="F33" s="68" t="str">
        <f>IF(E33="","",IF(E33&gt;=95,D33,IF(E33&gt;=90,0.8*D33,IF(E33&gt;=85,0.6*D33,IF(E33&gt;=80,0.4*D33,0)))))</f>
        <v/>
      </c>
      <c r="G33" s="155"/>
      <c r="H33" s="23" t="str">
        <f t="shared" si="2"/>
        <v/>
      </c>
    </row>
    <row r="34" spans="1:8" ht="30" customHeight="1">
      <c r="A34" s="80" t="s">
        <v>131</v>
      </c>
      <c r="B34" s="152" t="s">
        <v>132</v>
      </c>
      <c r="C34" s="152"/>
      <c r="D34" s="20">
        <v>10</v>
      </c>
      <c r="E34" s="58" t="s">
        <v>110</v>
      </c>
      <c r="F34" s="68">
        <f>IF(E34="Yes",D34,IF(E34="No",0," "))</f>
        <v>10</v>
      </c>
      <c r="G34" s="81">
        <f>F34</f>
        <v>10</v>
      </c>
      <c r="H34" s="23" t="str">
        <f t="shared" si="2"/>
        <v>Congratulations, you have achieved the target!</v>
      </c>
    </row>
    <row r="35" spans="1:8" ht="30" customHeight="1">
      <c r="A35" s="80" t="s">
        <v>133</v>
      </c>
      <c r="B35" s="152" t="s">
        <v>134</v>
      </c>
      <c r="C35" s="152"/>
      <c r="D35" s="20">
        <v>50</v>
      </c>
      <c r="E35" s="58">
        <v>77</v>
      </c>
      <c r="F35" s="68">
        <f>IF(E35="","",IF(E35&gt;=90,D35,IF(E35&gt;=85,0.8*D35,IF(E35&gt;=80,0.7*D35,IF(E35&gt;=75,0.6*D35,IF(E35&gt;=70,0.5*D35,0))))))</f>
        <v>30</v>
      </c>
      <c r="G35" s="81">
        <f>F35</f>
        <v>30</v>
      </c>
      <c r="H35" s="23" t="str">
        <f t="shared" si="2"/>
        <v>Good, achievable target is not far away</v>
      </c>
    </row>
    <row r="36" spans="1:8" ht="22.5">
      <c r="A36" s="141"/>
      <c r="B36" s="142"/>
      <c r="C36" s="142"/>
      <c r="D36" s="142"/>
      <c r="E36" s="142"/>
      <c r="F36" s="143"/>
      <c r="G36" s="82">
        <f>IF(COUNTA(G3:G17,G19:G33,G34:G35)=0,"",MAX(0,MAX(SUM(G3:G17),SUM(G19:G33))+SUM(G34:G35)))</f>
        <v>303</v>
      </c>
    </row>
    <row r="37" spans="1:8">
      <c r="F37" s="49"/>
      <c r="G37" s="50"/>
    </row>
    <row r="38" spans="1:8">
      <c r="F38" s="49"/>
      <c r="G38" s="50"/>
    </row>
    <row r="39" spans="1:8">
      <c r="F39" s="49"/>
      <c r="G39" s="50"/>
    </row>
    <row r="40" spans="1:8">
      <c r="F40" s="49"/>
      <c r="G40" s="50"/>
    </row>
    <row r="41" spans="1:8">
      <c r="F41" s="49"/>
      <c r="G41" s="50"/>
    </row>
    <row r="42" spans="1:8">
      <c r="F42" s="49"/>
      <c r="G42" s="50"/>
    </row>
    <row r="43" spans="1:8">
      <c r="F43" s="49"/>
      <c r="G43" s="50"/>
    </row>
    <row r="44" spans="1:8">
      <c r="F44" s="49"/>
      <c r="G44" s="50"/>
    </row>
    <row r="45" spans="1:8">
      <c r="F45" s="49"/>
      <c r="G45" s="50"/>
    </row>
    <row r="46" spans="1:8">
      <c r="F46" s="49"/>
      <c r="G46" s="50"/>
    </row>
    <row r="47" spans="1:8">
      <c r="F47" s="49"/>
      <c r="G47" s="50"/>
    </row>
    <row r="48" spans="1:8">
      <c r="F48" s="49"/>
      <c r="G48" s="50"/>
    </row>
    <row r="49" spans="6:7">
      <c r="F49" s="49"/>
      <c r="G49" s="50"/>
    </row>
    <row r="50" spans="6:7">
      <c r="F50" s="49"/>
      <c r="G50" s="50"/>
    </row>
    <row r="51" spans="6:7">
      <c r="F51" s="49"/>
      <c r="G51" s="50"/>
    </row>
    <row r="52" spans="6:7">
      <c r="F52" s="49"/>
      <c r="G52" s="50"/>
    </row>
    <row r="53" spans="6:7">
      <c r="F53" s="49"/>
      <c r="G53" s="50"/>
    </row>
    <row r="54" spans="6:7">
      <c r="F54" s="49"/>
      <c r="G54" s="50"/>
    </row>
    <row r="55" spans="6:7">
      <c r="F55" s="49"/>
      <c r="G55" s="50"/>
    </row>
    <row r="56" spans="6:7">
      <c r="F56" s="49"/>
      <c r="G56" s="50"/>
    </row>
    <row r="57" spans="6:7">
      <c r="F57" s="49"/>
      <c r="G57" s="50"/>
    </row>
    <row r="58" spans="6:7">
      <c r="F58" s="49"/>
      <c r="G58" s="50"/>
    </row>
    <row r="59" spans="6:7">
      <c r="F59" s="49"/>
      <c r="G59" s="50"/>
    </row>
    <row r="60" spans="6:7">
      <c r="F60" s="49"/>
      <c r="G60" s="50"/>
    </row>
    <row r="61" spans="6:7">
      <c r="F61" s="49"/>
      <c r="G61" s="50"/>
    </row>
    <row r="62" spans="6:7">
      <c r="F62" s="49"/>
      <c r="G62" s="50"/>
    </row>
    <row r="63" spans="6:7">
      <c r="F63" s="49"/>
      <c r="G63" s="50"/>
    </row>
    <row r="64" spans="6:7">
      <c r="F64" s="49"/>
      <c r="G64" s="50"/>
    </row>
    <row r="65" spans="6:7">
      <c r="F65" s="49"/>
      <c r="G65" s="50"/>
    </row>
    <row r="66" spans="6:7">
      <c r="F66" s="49"/>
      <c r="G66" s="50"/>
    </row>
    <row r="67" spans="6:7">
      <c r="F67" s="49"/>
      <c r="G67" s="50"/>
    </row>
    <row r="68" spans="6:7">
      <c r="F68" s="49"/>
      <c r="G68" s="50"/>
    </row>
    <row r="69" spans="6:7">
      <c r="F69" s="49"/>
      <c r="G69" s="50"/>
    </row>
    <row r="70" spans="6:7">
      <c r="F70" s="49"/>
      <c r="G70" s="50"/>
    </row>
    <row r="71" spans="6:7">
      <c r="F71" s="49"/>
      <c r="G71" s="50"/>
    </row>
    <row r="72" spans="6:7">
      <c r="F72" s="49"/>
      <c r="G72" s="50"/>
    </row>
    <row r="73" spans="6:7">
      <c r="F73" s="49"/>
      <c r="G73" s="50"/>
    </row>
    <row r="74" spans="6:7">
      <c r="F74" s="49"/>
      <c r="G74" s="50"/>
    </row>
    <row r="75" spans="6:7">
      <c r="F75" s="49"/>
      <c r="G75" s="50"/>
    </row>
  </sheetData>
  <sheetProtection password="BCCA" sheet="1" objects="1" scenarios="1"/>
  <mergeCells count="13">
    <mergeCell ref="A1:H1"/>
    <mergeCell ref="A2:C2"/>
    <mergeCell ref="B18:G18"/>
    <mergeCell ref="B34:C34"/>
    <mergeCell ref="B35:C35"/>
    <mergeCell ref="G3:G17"/>
    <mergeCell ref="G19:G33"/>
    <mergeCell ref="A36:F36"/>
    <mergeCell ref="A3:A33"/>
    <mergeCell ref="B3:B12"/>
    <mergeCell ref="B13:B17"/>
    <mergeCell ref="B19:B28"/>
    <mergeCell ref="B29:B33"/>
  </mergeCells>
  <conditionalFormatting sqref="H3">
    <cfRule type="expression" dxfId="44" priority="7">
      <formula>ISNUMBER(SEARCH("There is scope for improvement",H3))</formula>
    </cfRule>
    <cfRule type="expression" dxfId="43" priority="8">
      <formula>ISNUMBER(SEARCH("Good, achievable target is not far away",H3))</formula>
    </cfRule>
    <cfRule type="expression" dxfId="42" priority="9">
      <formula>ISNUMBER(SEARCH("Congratulations, you have achieved the target!",H3))</formula>
    </cfRule>
  </conditionalFormatting>
  <conditionalFormatting sqref="H4:H17">
    <cfRule type="expression" dxfId="41" priority="4">
      <formula>ISNUMBER(SEARCH("There is scope for improvement",H4))</formula>
    </cfRule>
    <cfRule type="expression" dxfId="40" priority="5">
      <formula>ISNUMBER(SEARCH("Good, achievable target is not far away",H4))</formula>
    </cfRule>
    <cfRule type="expression" dxfId="39" priority="6">
      <formula>ISNUMBER(SEARCH("Congratulations, you have achieved the target!",H4))</formula>
    </cfRule>
  </conditionalFormatting>
  <conditionalFormatting sqref="H19:H35">
    <cfRule type="expression" dxfId="38" priority="1">
      <formula>ISNUMBER(SEARCH("There is scope for improvement",H19))</formula>
    </cfRule>
    <cfRule type="expression" dxfId="37" priority="2">
      <formula>ISNUMBER(SEARCH("Good, achievable target is not far away",H19))</formula>
    </cfRule>
    <cfRule type="expression" dxfId="36" priority="3">
      <formula>ISNUMBER(SEARCH("Congratulations, you have achieved the target!",H19))</formula>
    </cfRule>
  </conditionalFormatting>
  <dataValidations count="3">
    <dataValidation type="list" allowBlank="1" showInputMessage="1" showErrorMessage="1" sqref="E5 E21" xr:uid="{00000000-0002-0000-0100-000000000000}">
      <formula1>"4,3,2,1,0"</formula1>
    </dataValidation>
    <dataValidation type="list" allowBlank="1" showInputMessage="1" showErrorMessage="1" sqref="E34 E3:E4 E9:E14 E19:E20 E25:E30" xr:uid="{00000000-0002-0000-0100-000001000000}">
      <formula1>"Yes,No"</formula1>
    </dataValidation>
    <dataValidation type="list" allowBlank="1" showInputMessage="1" showErrorMessage="1" sqref="E7:E8 E23:E24" xr:uid="{00000000-0002-0000-0100-000002000000}">
      <formula1>"&gt;=1,0"</formula1>
    </dataValidation>
  </dataValidations>
  <printOptions horizontalCentered="1"/>
  <pageMargins left="0.25" right="0.25" top="0.75" bottom="0.75" header="0.3" footer="0.3"/>
  <pageSetup paperSize="9" scale="70"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tint="0.59999389629810485"/>
  </sheetPr>
  <dimension ref="A1:J142"/>
  <sheetViews>
    <sheetView topLeftCell="A19" zoomScale="85" zoomScaleNormal="85" zoomScaleSheetLayoutView="70" workbookViewId="0">
      <selection activeCell="L15" sqref="L15"/>
    </sheetView>
  </sheetViews>
  <sheetFormatPr defaultColWidth="9.140625" defaultRowHeight="15.75"/>
  <cols>
    <col min="1" max="1" width="19.28515625" style="48" customWidth="1"/>
    <col min="2" max="2" width="27.7109375" style="11" customWidth="1"/>
    <col min="3" max="3" width="22.7109375" style="49" customWidth="1"/>
    <col min="4" max="4" width="27.7109375" style="49" customWidth="1"/>
    <col min="5" max="5" width="10.42578125" style="50" customWidth="1"/>
    <col min="6" max="6" width="11.42578125" style="46" customWidth="1"/>
    <col min="7" max="7" width="10.7109375" style="51" customWidth="1"/>
    <col min="8" max="8" width="12.140625" style="52" customWidth="1"/>
    <col min="9" max="9" width="28.28515625" style="46" customWidth="1"/>
    <col min="10" max="10" width="10.140625" style="49" customWidth="1"/>
    <col min="11" max="11" width="16.140625" style="49" customWidth="1"/>
    <col min="12" max="16384" width="9.140625" style="49"/>
  </cols>
  <sheetData>
    <row r="1" spans="1:10" ht="79.5" customHeight="1">
      <c r="A1" s="168"/>
      <c r="B1" s="168"/>
      <c r="C1" s="168"/>
      <c r="D1" s="168"/>
      <c r="E1" s="168"/>
      <c r="F1" s="168"/>
      <c r="G1" s="168"/>
      <c r="H1" s="168"/>
      <c r="I1" s="168"/>
    </row>
    <row r="2" spans="1:10" s="12" customFormat="1" ht="35.25" customHeight="1">
      <c r="A2" s="169" t="s">
        <v>135</v>
      </c>
      <c r="B2" s="169"/>
      <c r="C2" s="169"/>
      <c r="D2" s="169"/>
      <c r="E2" s="53" t="s">
        <v>102</v>
      </c>
      <c r="F2" s="53" t="s">
        <v>103</v>
      </c>
      <c r="G2" s="53" t="s">
        <v>104</v>
      </c>
      <c r="H2" s="53" t="s">
        <v>105</v>
      </c>
      <c r="I2" s="16" t="s">
        <v>106</v>
      </c>
      <c r="J2" s="54"/>
    </row>
    <row r="3" spans="1:10" ht="30">
      <c r="A3" s="160" t="s">
        <v>136</v>
      </c>
      <c r="B3" s="152" t="s">
        <v>137</v>
      </c>
      <c r="C3" s="147" t="s">
        <v>138</v>
      </c>
      <c r="D3" s="20" t="s">
        <v>139</v>
      </c>
      <c r="E3" s="148">
        <v>105</v>
      </c>
      <c r="F3" s="58"/>
      <c r="G3" s="22" t="str">
        <f>IF(F3="","",IFERROR(MIN(100,IF(Basic_Information!C7="Professor",33.333333333*F3,IF(Basic_Information!C7="Associate Professor",50*F3,IF(Basic_Information!C7="Assistant Professor",100*F3,0)))),""))</f>
        <v/>
      </c>
      <c r="H3" s="156">
        <f>IF((G3&amp;G4&amp;G5&amp;G6&amp;G7&amp;G8)="","",MIN(105,IF(ROUND(N(G3),3)=100,N(G3)+N(G4)+N(G5)+N(G7)+N(G8),IF(ROUND(N(G6),3)=100,N(G6)+N(G4)+N(G5)+N(G7)+N(G8),IF(N(G4)+N(G5)=5,MIN(N(G3)+N(G6),100)+N(G4)+N(G5),IF(N(G7)+N(G8)=5,MIN(N(G3)+N(G6),100)+N(G7)+N(G8),MIN(N(G3)+N(G6),100)+N(G4)+N(G5)+N(G7)+N(G8)))))))</f>
        <v>100</v>
      </c>
      <c r="I3" s="60" t="str">
        <f>IF(OR(F3="",G3=""),"",IF(AND(ISNUMBER(G3)),IF(G3&gt;0.9*100,"Congratulations, you have achieved the target!",IF(G3&lt;0.1*100,"There is scope for improvement","Good, achievable target is not far away")),""))</f>
        <v/>
      </c>
      <c r="J3" s="61"/>
    </row>
    <row r="4" spans="1:10" ht="44.25" customHeight="1">
      <c r="A4" s="160"/>
      <c r="B4" s="152"/>
      <c r="C4" s="147"/>
      <c r="D4" s="20" t="s">
        <v>140</v>
      </c>
      <c r="E4" s="148"/>
      <c r="F4" s="58"/>
      <c r="G4" s="22">
        <f>IF(F3=0,0,IF(F4="","",IF(F4="&gt;=1",2.5,IF(F4=0,0,0))))</f>
        <v>0</v>
      </c>
      <c r="H4" s="156"/>
      <c r="I4" s="60" t="str">
        <f>IF(OR(F4="",G4=""),"",IF(AND(ISNUMBER(G4)),IF(G4&gt;0.9*2.5,"Congratulations, you have achieved the target!",IF(G4&lt;0.1*2.5,"There is scope for improvement","Good, achievable target is not far away")),""))</f>
        <v/>
      </c>
      <c r="J4" s="50"/>
    </row>
    <row r="5" spans="1:10" ht="44.25" customHeight="1">
      <c r="A5" s="160"/>
      <c r="B5" s="152"/>
      <c r="C5" s="147"/>
      <c r="D5" s="20" t="s">
        <v>141</v>
      </c>
      <c r="E5" s="148"/>
      <c r="F5" s="58"/>
      <c r="G5" s="22">
        <f>IF(F3=0,0,IF(F5="","",IF(F5="&gt;=1",2.5,IF(F5=0,0,0))))</f>
        <v>0</v>
      </c>
      <c r="H5" s="156"/>
      <c r="I5" s="60" t="str">
        <f>IF(OR(F5="",G5=""),"",IF(AND(ISNUMBER(G5)),IF(G5&gt;0.9*2.5,"Congratulations, you have achieved the target!",IF(G5&lt;0.1*2.5,"There is scope for improvement","Good, achievable target is not far away")),""))</f>
        <v/>
      </c>
      <c r="J5" s="50"/>
    </row>
    <row r="6" spans="1:10" ht="30" customHeight="1">
      <c r="A6" s="160"/>
      <c r="B6" s="152"/>
      <c r="C6" s="164" t="s">
        <v>142</v>
      </c>
      <c r="D6" s="164"/>
      <c r="E6" s="148"/>
      <c r="F6" s="58">
        <v>2</v>
      </c>
      <c r="G6" s="22">
        <f>IF(F6="","",IFERROR(MIN(100,IF(Basic_Information!C7="Professor",20*F6,IF(Basic_Information!C7="Associate Professor",33.333333*F6,IF(Basic_Information!C7="Assistant Professor",50*F6,0)))),""))</f>
        <v>100</v>
      </c>
      <c r="H6" s="156"/>
      <c r="I6" s="60" t="str">
        <f>IF(OR(F6="",G6=""),"",IF(AND(ISNUMBER(G6)),IF(G6&gt;0.9*100,"Congratulations, you have achieved the target!",IF(G6&lt;0.1*100,"There is scope for improvement","Good, achievable target is not far away")),""))</f>
        <v>Congratulations, you have achieved the target!</v>
      </c>
      <c r="J6" s="61"/>
    </row>
    <row r="7" spans="1:10" ht="27" customHeight="1">
      <c r="A7" s="160"/>
      <c r="B7" s="152"/>
      <c r="C7" s="152" t="s">
        <v>143</v>
      </c>
      <c r="D7" s="152"/>
      <c r="E7" s="148"/>
      <c r="F7" s="58"/>
      <c r="G7" s="22" t="str">
        <f>IF(F6=0,0,IF(F7="","",IF(F7="&gt;=1",2.5,IF(F7=0,0,0))))</f>
        <v/>
      </c>
      <c r="H7" s="156"/>
      <c r="I7" s="60" t="str">
        <f t="shared" ref="I7:I8" si="0">IF(OR(F7="",G7=""),"",IF(AND(ISNUMBER(G7)),IF(G7&gt;0.9*2.5,"Congratulations, you have achieved the target!",IF(G7&lt;0.1*2.5,"There is scope for improvement","Good, achievable target is not far away")),""))</f>
        <v/>
      </c>
    </row>
    <row r="8" spans="1:10" ht="30.75" customHeight="1">
      <c r="A8" s="160"/>
      <c r="B8" s="152"/>
      <c r="C8" s="152" t="s">
        <v>144</v>
      </c>
      <c r="D8" s="152"/>
      <c r="E8" s="148"/>
      <c r="F8" s="58"/>
      <c r="G8" s="22" t="str">
        <f>IF(F6=0,0,IF(F8="","",IF(F8="&gt;=1",2.5,IF(F8=0,0,0))))</f>
        <v/>
      </c>
      <c r="H8" s="156"/>
      <c r="I8" s="60" t="str">
        <f t="shared" si="0"/>
        <v/>
      </c>
    </row>
    <row r="9" spans="1:10" ht="27" customHeight="1">
      <c r="A9" s="160"/>
      <c r="B9" s="152" t="s">
        <v>145</v>
      </c>
      <c r="C9" s="152" t="s">
        <v>146</v>
      </c>
      <c r="D9" s="152"/>
      <c r="E9" s="57">
        <v>13</v>
      </c>
      <c r="F9" s="58">
        <v>1</v>
      </c>
      <c r="G9" s="22">
        <f>IF(OR(F9="",E9=""),"",F9*E9)</f>
        <v>13</v>
      </c>
      <c r="H9" s="156">
        <f>IF((G9&amp;G10)="","",MIN(N(G9)+N(G10),13))</f>
        <v>13</v>
      </c>
      <c r="I9" s="60" t="str">
        <f>IF(OR(E9="",F9="",G9=""),"",IF(AND(ISNUMBER(E9),ISNUMBER(G9)),IF(G9&gt;0.9*E9,"Congratulations, you have achieved the target!",IF(G9&lt;0.1*E9,"There is scope for improvement","Good, achievable target is not far away")),""))</f>
        <v>Congratulations, you have achieved the target!</v>
      </c>
    </row>
    <row r="10" spans="1:10" ht="26.25" customHeight="1">
      <c r="A10" s="160"/>
      <c r="B10" s="152"/>
      <c r="C10" s="152" t="s">
        <v>147</v>
      </c>
      <c r="D10" s="152"/>
      <c r="E10" s="20">
        <v>13</v>
      </c>
      <c r="F10" s="58"/>
      <c r="G10" s="22" t="str">
        <f>IF(OR(F10="",E10=""),"",F10*E10*0.5)</f>
        <v/>
      </c>
      <c r="H10" s="156"/>
      <c r="I10" s="60" t="str">
        <f t="shared" ref="I10:I34" si="1">IF(OR(E10="",F10="",G10=""),"",IF(AND(ISNUMBER(E10),ISNUMBER(G10)),IF(G10&gt;0.9*E10,"Congratulations, you have achieved the target!",IF(G10&lt;0.1*E10,"There is scope for improvement","Good, achievable target is not far away")),""))</f>
        <v/>
      </c>
    </row>
    <row r="11" spans="1:10" ht="30" customHeight="1">
      <c r="A11" s="160"/>
      <c r="B11" s="152" t="s">
        <v>148</v>
      </c>
      <c r="C11" s="164" t="s">
        <v>149</v>
      </c>
      <c r="D11" s="164"/>
      <c r="E11" s="20">
        <v>15</v>
      </c>
      <c r="F11" s="58"/>
      <c r="G11" s="22" t="str">
        <f>IF(F11="","",IF(F11&gt;=1,E11,0))</f>
        <v/>
      </c>
      <c r="H11" s="156" t="str">
        <f>IF((G11&amp;G12)="","",MIN(N(G11)+N(G12),15))</f>
        <v/>
      </c>
      <c r="I11" s="60" t="str">
        <f t="shared" si="1"/>
        <v/>
      </c>
    </row>
    <row r="12" spans="1:10" ht="30" customHeight="1">
      <c r="A12" s="160"/>
      <c r="B12" s="152"/>
      <c r="C12" s="164" t="s">
        <v>150</v>
      </c>
      <c r="D12" s="164"/>
      <c r="E12" s="20">
        <v>8</v>
      </c>
      <c r="F12" s="58"/>
      <c r="G12" s="22" t="str">
        <f>IF(F12="","",IF(F12&gt;=1,F12*E12,0))</f>
        <v/>
      </c>
      <c r="H12" s="156"/>
      <c r="I12" s="60" t="str">
        <f t="shared" si="1"/>
        <v/>
      </c>
    </row>
    <row r="13" spans="1:10" ht="30" customHeight="1">
      <c r="A13" s="160"/>
      <c r="B13" s="152" t="s">
        <v>151</v>
      </c>
      <c r="C13" s="164" t="s">
        <v>152</v>
      </c>
      <c r="D13" s="164"/>
      <c r="E13" s="57">
        <v>30</v>
      </c>
      <c r="F13" s="58">
        <v>0</v>
      </c>
      <c r="G13" s="22">
        <f t="shared" ref="G13:G14" si="2">IF(F13="","",IF(F13&gt;=1,F13*E13,0))</f>
        <v>0</v>
      </c>
      <c r="H13" s="156">
        <f>IF((G13&amp;G14)="","",MIN(N(G13)+N(G14),30))</f>
        <v>0</v>
      </c>
      <c r="I13" s="60" t="str">
        <f t="shared" si="1"/>
        <v>There is scope for improvement</v>
      </c>
    </row>
    <row r="14" spans="1:10" ht="30" customHeight="1">
      <c r="A14" s="160"/>
      <c r="B14" s="152"/>
      <c r="C14" s="164" t="s">
        <v>153</v>
      </c>
      <c r="D14" s="164"/>
      <c r="E14" s="57">
        <v>7.5</v>
      </c>
      <c r="F14" s="58">
        <v>0</v>
      </c>
      <c r="G14" s="22">
        <f t="shared" si="2"/>
        <v>0</v>
      </c>
      <c r="H14" s="156"/>
      <c r="I14" s="60" t="str">
        <f t="shared" si="1"/>
        <v>There is scope for improvement</v>
      </c>
    </row>
    <row r="15" spans="1:10" ht="31.5" customHeight="1">
      <c r="A15" s="160" t="s">
        <v>154</v>
      </c>
      <c r="B15" s="164" t="s">
        <v>155</v>
      </c>
      <c r="C15" s="164"/>
      <c r="D15" s="164"/>
      <c r="E15" s="57">
        <v>15</v>
      </c>
      <c r="F15" s="62"/>
      <c r="G15" s="63" t="str">
        <f>IF(F15="","",IF(F15="Yes",E15,0))</f>
        <v/>
      </c>
      <c r="H15" s="156">
        <f>IF(COUNTA(G15,G17,G18,G19,G20)=0,"",MIN(15,SUM(N(G15),N(G17),N(G18),N(G19),N(G20))))</f>
        <v>0</v>
      </c>
      <c r="I15" s="60" t="str">
        <f t="shared" si="1"/>
        <v/>
      </c>
    </row>
    <row r="16" spans="1:10" ht="15.75" customHeight="1">
      <c r="A16" s="160"/>
      <c r="B16" s="167" t="s">
        <v>156</v>
      </c>
      <c r="C16" s="167"/>
      <c r="D16" s="167"/>
      <c r="E16" s="167"/>
      <c r="F16" s="167"/>
      <c r="G16" s="167"/>
      <c r="H16" s="156"/>
      <c r="I16" s="49"/>
    </row>
    <row r="17" spans="1:9" ht="30" customHeight="1">
      <c r="A17" s="160"/>
      <c r="B17" s="164" t="s">
        <v>157</v>
      </c>
      <c r="C17" s="164"/>
      <c r="D17" s="164"/>
      <c r="E17" s="57">
        <v>10</v>
      </c>
      <c r="F17" s="62">
        <v>0</v>
      </c>
      <c r="G17" s="63">
        <f>IF(F17="","",IF(F17&gt;=2,E17,IF(F17=1,E17,0)))</f>
        <v>0</v>
      </c>
      <c r="H17" s="156"/>
      <c r="I17" s="60" t="str">
        <f t="shared" si="1"/>
        <v>There is scope for improvement</v>
      </c>
    </row>
    <row r="18" spans="1:9" ht="30" customHeight="1">
      <c r="A18" s="160"/>
      <c r="B18" s="164" t="s">
        <v>158</v>
      </c>
      <c r="C18" s="164"/>
      <c r="D18" s="62"/>
      <c r="E18" s="57">
        <v>10</v>
      </c>
      <c r="F18" s="62"/>
      <c r="G18" s="63" t="str">
        <f>IF(F18="","",IF(E18="","",IF(F18=0,0,IF(F18&gt;=1,IF(D18="Gold",E18,IF(D18="Silver",9,IF(D18="Elite",7,IF(D18="Successfully Completed",E18*0.6,"")))),""))))</f>
        <v/>
      </c>
      <c r="H18" s="156"/>
      <c r="I18" s="60" t="str">
        <f t="shared" si="1"/>
        <v/>
      </c>
    </row>
    <row r="19" spans="1:9" ht="30" customHeight="1">
      <c r="A19" s="160"/>
      <c r="B19" s="164" t="s">
        <v>159</v>
      </c>
      <c r="C19" s="164"/>
      <c r="D19" s="62"/>
      <c r="E19" s="57">
        <v>8</v>
      </c>
      <c r="F19" s="62"/>
      <c r="G19" s="63" t="str">
        <f>IF(F19="","",IF(E19="","",IF(F19=0,0,IF(F19&gt;=1,IF(D19="Gold",E19,IF(D19="Silver",6,IF(D19="Elite",5,IF(D19="Successfully Completed",E19*0.5,"")))),""))))</f>
        <v/>
      </c>
      <c r="H19" s="156"/>
      <c r="I19" s="60" t="str">
        <f t="shared" si="1"/>
        <v/>
      </c>
    </row>
    <row r="20" spans="1:9" ht="30" customHeight="1">
      <c r="A20" s="160"/>
      <c r="B20" s="164" t="s">
        <v>160</v>
      </c>
      <c r="C20" s="164"/>
      <c r="D20" s="62"/>
      <c r="E20" s="57">
        <v>6</v>
      </c>
      <c r="F20" s="62"/>
      <c r="G20" s="63" t="str">
        <f>IF(F20="","",IF(E20="","",IF(F20=0,0,IF(F20&gt;=1,IF(D20="Gold",E20,IF(D20="Silver",5,IF(D20="Elite",4,IF(D20="Successfully Completed",3,"")))),""))))</f>
        <v/>
      </c>
      <c r="H20" s="156"/>
      <c r="I20" s="60" t="str">
        <f t="shared" si="1"/>
        <v/>
      </c>
    </row>
    <row r="21" spans="1:9" ht="30" customHeight="1">
      <c r="A21" s="160" t="s">
        <v>161</v>
      </c>
      <c r="B21" s="165" t="s">
        <v>162</v>
      </c>
      <c r="C21" s="165"/>
      <c r="D21" s="165"/>
      <c r="E21" s="20">
        <v>8</v>
      </c>
      <c r="F21" s="58">
        <v>1</v>
      </c>
      <c r="G21" s="63">
        <f>IF(OR(F21="",E21=""),"",F21*E21)</f>
        <v>8</v>
      </c>
      <c r="H21" s="156">
        <f>IF((G21&amp;G22)="","",MIN(N(G21)+N(G22),8))</f>
        <v>8</v>
      </c>
      <c r="I21" s="60" t="str">
        <f t="shared" si="1"/>
        <v>Congratulations, you have achieved the target!</v>
      </c>
    </row>
    <row r="22" spans="1:9" ht="30" customHeight="1">
      <c r="A22" s="160"/>
      <c r="B22" s="164" t="s">
        <v>163</v>
      </c>
      <c r="C22" s="164"/>
      <c r="D22" s="164"/>
      <c r="E22" s="57">
        <v>8</v>
      </c>
      <c r="F22" s="58"/>
      <c r="G22" s="63" t="str">
        <f>IF(F22="","",IF(F22&gt;=2,E22,IF(F22=1,4,0)))</f>
        <v/>
      </c>
      <c r="H22" s="156"/>
      <c r="I22" s="60" t="str">
        <f t="shared" si="1"/>
        <v/>
      </c>
    </row>
    <row r="23" spans="1:9" ht="30.75" customHeight="1">
      <c r="A23" s="160" t="s">
        <v>164</v>
      </c>
      <c r="B23" s="166" t="s">
        <v>165</v>
      </c>
      <c r="C23" s="166"/>
      <c r="D23" s="166"/>
      <c r="E23" s="64">
        <v>30</v>
      </c>
      <c r="F23" s="58"/>
      <c r="G23" s="63" t="str">
        <f>IF(F23="","",IF(F23="Principal Investigator",E23,IF(F23="Co-Principal Investigator",20,IF(F23="No",0,0))))</f>
        <v/>
      </c>
      <c r="H23" s="156" t="str">
        <f>IF((G23&amp;G24&amp;G25&amp;G26&amp;G27)="","",MIN(SUM(N(G23),N(G24),N(G25),N(G26),N(G27)),40))</f>
        <v/>
      </c>
      <c r="I23" s="60" t="str">
        <f t="shared" si="1"/>
        <v/>
      </c>
    </row>
    <row r="24" spans="1:9" ht="30" customHeight="1">
      <c r="A24" s="160"/>
      <c r="B24" s="152" t="s">
        <v>166</v>
      </c>
      <c r="C24" s="152"/>
      <c r="D24" s="62" t="s">
        <v>167</v>
      </c>
      <c r="E24" s="65">
        <v>30</v>
      </c>
      <c r="F24" s="62"/>
      <c r="G24" s="66" t="str">
        <f>IF(F24="","",IF(D24="Principal Investigator",IF(F24="&gt;30L",E24,IF(F24="&gt;20L-30L",0.8*E24,IF(F24="&gt;10L-20L",0.7*E24,IF(F24="&gt;50K-10L",0.6*E24,IF(F24="&lt;50K",0.1*E24,IF(F24="No Project",0,0)))))),IF(D24="Co-Principal Investigator",IF(F24="&gt;30L",20,IF(F24="&gt;20L-30L",14,IF(F24="&gt;10L-20L",11,IF(F24="&gt;50K-10L",8,IF(F24="&lt;50K",2,IF(F24="No Project",0,0)))))),"")))</f>
        <v/>
      </c>
      <c r="H24" s="156"/>
      <c r="I24" s="60" t="str">
        <f t="shared" si="1"/>
        <v/>
      </c>
    </row>
    <row r="25" spans="1:9" ht="30" customHeight="1">
      <c r="A25" s="160"/>
      <c r="B25" s="164" t="s">
        <v>168</v>
      </c>
      <c r="C25" s="164"/>
      <c r="D25" s="164"/>
      <c r="E25" s="65">
        <v>10</v>
      </c>
      <c r="F25" s="67"/>
      <c r="G25" s="63" t="str">
        <f>IF(F25="","",IF(F25=50%,E25,IF(F25=25%,0.5*E25,IF(F25=10%,0.3*E25,IF(F25=5%,0.1*E25,IF(F25="No Project",0,0))))))</f>
        <v/>
      </c>
      <c r="H25" s="156"/>
      <c r="I25" s="60" t="str">
        <f t="shared" si="1"/>
        <v/>
      </c>
    </row>
    <row r="26" spans="1:9" ht="30" customHeight="1">
      <c r="A26" s="160"/>
      <c r="B26" s="164" t="s">
        <v>169</v>
      </c>
      <c r="C26" s="164"/>
      <c r="D26" s="164"/>
      <c r="E26" s="65">
        <v>20</v>
      </c>
      <c r="F26" s="62"/>
      <c r="G26" s="63" t="str">
        <f>IF(F26="","",IF(F26="&gt;5L",E26,IF(F26="&gt;3L-&lt;5L",0.7*E26,IF(F26="&lt;3L-50K",0.6*E26,0))))</f>
        <v/>
      </c>
      <c r="H26" s="156"/>
      <c r="I26" s="60" t="str">
        <f t="shared" si="1"/>
        <v/>
      </c>
    </row>
    <row r="27" spans="1:9" ht="30" customHeight="1">
      <c r="A27" s="160"/>
      <c r="B27" s="164" t="s">
        <v>170</v>
      </c>
      <c r="C27" s="164"/>
      <c r="D27" s="164"/>
      <c r="E27" s="65">
        <v>15</v>
      </c>
      <c r="F27" s="62"/>
      <c r="G27" s="63" t="str">
        <f>IF(F27="","",IF(F27="&gt;5L",15,IF(F27="&gt;3L-&lt;5L",10,IF(F27="&lt;3L-50K",5,0))))</f>
        <v/>
      </c>
      <c r="H27" s="156"/>
      <c r="I27" s="60" t="str">
        <f t="shared" si="1"/>
        <v/>
      </c>
    </row>
    <row r="28" spans="1:9" ht="30" customHeight="1">
      <c r="A28" s="160" t="s">
        <v>171</v>
      </c>
      <c r="B28" s="152" t="s">
        <v>172</v>
      </c>
      <c r="C28" s="152"/>
      <c r="D28" s="152"/>
      <c r="E28" s="65">
        <v>10</v>
      </c>
      <c r="F28" s="62"/>
      <c r="G28" s="63" t="str">
        <f>IF(F28="","",IF(F28="&gt;=5L",E28,IF(F28="&gt;4L-&lt;5L",0.8*E28,IF(F28="&gt;3L-&lt;4L",0.6*E28,IF(F28="&gt;2L-&lt;3L",0.4*E28,IF(F28="&lt;2L",0.2*E28,IF(F28=0,0,0)))))))</f>
        <v/>
      </c>
      <c r="H28" s="156" t="str">
        <f>IF((G28&amp;G29)="","",MIN(N(G28)+N(G29),10))</f>
        <v/>
      </c>
      <c r="I28" s="60" t="str">
        <f t="shared" si="1"/>
        <v/>
      </c>
    </row>
    <row r="29" spans="1:9" ht="30" customHeight="1">
      <c r="A29" s="160"/>
      <c r="B29" s="152" t="s">
        <v>173</v>
      </c>
      <c r="C29" s="152"/>
      <c r="D29" s="152"/>
      <c r="E29" s="65">
        <v>5</v>
      </c>
      <c r="F29" s="62"/>
      <c r="G29" s="63" t="str">
        <f>IF(F29="","",IF(F29="&gt;=5L",E29,IF(F29="&gt;4L-&lt;5L",0.8*E29,IF(F29="&gt;3L-&lt;4L",0.6*E29,IF(F29="&gt;2L-&lt;3L",0.4*E29,IF(F29="&lt;2L",0.2*E29,IF(F29=0,0,0)))))))</f>
        <v/>
      </c>
      <c r="H29" s="156"/>
      <c r="I29" s="60" t="str">
        <f t="shared" si="1"/>
        <v/>
      </c>
    </row>
    <row r="30" spans="1:9" ht="27" customHeight="1">
      <c r="A30" s="160" t="s">
        <v>174</v>
      </c>
      <c r="B30" s="152" t="s">
        <v>175</v>
      </c>
      <c r="C30" s="152"/>
      <c r="D30" s="152"/>
      <c r="E30" s="57">
        <v>25</v>
      </c>
      <c r="F30" s="58"/>
      <c r="G30" s="68" t="str">
        <f>IF(F30="","",IF(F30="Yes",E30,0))</f>
        <v/>
      </c>
      <c r="H30" s="156" t="str">
        <f>IF((G30&amp;G31)="","",MIN(N(G30)+N(G31),25))</f>
        <v/>
      </c>
      <c r="I30" s="60" t="str">
        <f t="shared" si="1"/>
        <v/>
      </c>
    </row>
    <row r="31" spans="1:9" ht="30" customHeight="1">
      <c r="A31" s="160"/>
      <c r="B31" s="164" t="s">
        <v>176</v>
      </c>
      <c r="C31" s="164"/>
      <c r="D31" s="164"/>
      <c r="E31" s="57">
        <v>15</v>
      </c>
      <c r="F31" s="58"/>
      <c r="G31" s="68" t="str">
        <f>IF(F31="","",IF(F31="Yes",E31,0))</f>
        <v/>
      </c>
      <c r="H31" s="156"/>
      <c r="I31" s="60" t="str">
        <f t="shared" si="1"/>
        <v/>
      </c>
    </row>
    <row r="32" spans="1:9" ht="36" customHeight="1">
      <c r="A32" s="160" t="s">
        <v>177</v>
      </c>
      <c r="B32" s="161" t="s">
        <v>178</v>
      </c>
      <c r="C32" s="162"/>
      <c r="D32" s="163"/>
      <c r="E32" s="57">
        <v>12</v>
      </c>
      <c r="F32" s="58" t="s">
        <v>115</v>
      </c>
      <c r="G32" s="63">
        <f>IF(OR(F32="",E32=""),"",IF(F32&gt;=1,E32,IF(F32=0,0,"")))</f>
        <v>12</v>
      </c>
      <c r="H32" s="156">
        <f>IF((G32&amp;G33)="","",MIN(N(G32)+N(G33),12))</f>
        <v>12</v>
      </c>
      <c r="I32" s="60" t="str">
        <f t="shared" si="1"/>
        <v>Congratulations, you have achieved the target!</v>
      </c>
    </row>
    <row r="33" spans="1:9" ht="30" customHeight="1">
      <c r="A33" s="160"/>
      <c r="B33" s="161" t="s">
        <v>179</v>
      </c>
      <c r="C33" s="162"/>
      <c r="D33" s="163"/>
      <c r="E33" s="57">
        <v>5</v>
      </c>
      <c r="F33" s="58"/>
      <c r="G33" s="63" t="str">
        <f>IF(OR(F33="",E33=""),"",IF(F33&gt;=1,E33,IF(F33=0,0,"")))</f>
        <v/>
      </c>
      <c r="H33" s="156"/>
      <c r="I33" s="60" t="str">
        <f t="shared" si="1"/>
        <v/>
      </c>
    </row>
    <row r="34" spans="1:9" ht="67.5" customHeight="1">
      <c r="A34" s="160" t="s">
        <v>180</v>
      </c>
      <c r="B34" s="161" t="s">
        <v>181</v>
      </c>
      <c r="C34" s="162"/>
      <c r="D34" s="163"/>
      <c r="E34" s="57">
        <v>8</v>
      </c>
      <c r="F34" s="58" t="s">
        <v>182</v>
      </c>
      <c r="G34" s="63">
        <f>IF(F34="","",IF(F34="Atleast 75% should be External Participants.",E34,IF(F34="Atleast 60% should be External Participants.",7,IF(F34="Atleast 50% should be External Participants.",6,IF(F34="Atleast 40% should be External Participants.",5,IF(F34="Atleast 25% should be External Participants.",4,IF(F34="Only for Internal Members",3,0)))))))</f>
        <v>8</v>
      </c>
      <c r="H34" s="157">
        <f>IF(SUM(G34:G36)=0,"",MIN(30,SUM(G34:G36)))</f>
        <v>8</v>
      </c>
      <c r="I34" s="60" t="str">
        <f t="shared" si="1"/>
        <v>Congratulations, you have achieved the target!</v>
      </c>
    </row>
    <row r="35" spans="1:9" ht="60" customHeight="1">
      <c r="A35" s="160"/>
      <c r="B35" s="161" t="s">
        <v>183</v>
      </c>
      <c r="C35" s="162"/>
      <c r="D35" s="163"/>
      <c r="E35" s="57">
        <v>15</v>
      </c>
      <c r="F35" s="58" t="s">
        <v>317</v>
      </c>
      <c r="G35" s="63">
        <f>IF(F35="","",IF(F35="Convener/Organizing Secretary",E35,IF(F35="Co-Convener",10,IF(F35="Organizing committee",2,IF(F35="None",0,0)))))</f>
        <v>0</v>
      </c>
      <c r="H35" s="158"/>
      <c r="I35" s="60" t="str">
        <f t="shared" ref="I35:I46" si="3">IF(OR(E35="",F35="",G35=""),"",IF(AND(ISNUMBER(E35),ISNUMBER(G35)),IF(G35&gt;0.9*E35,"Congratulations, you have achieved the target!",IF(G35&lt;0.1*E35,"There is scope for improvement","Good, achievable target is not far away")),""))</f>
        <v>There is scope for improvement</v>
      </c>
    </row>
    <row r="36" spans="1:9" ht="51" customHeight="1">
      <c r="A36" s="160"/>
      <c r="B36" s="152" t="s">
        <v>184</v>
      </c>
      <c r="C36" s="152"/>
      <c r="D36" s="56" t="s">
        <v>185</v>
      </c>
      <c r="E36" s="57">
        <v>12</v>
      </c>
      <c r="F36" s="58"/>
      <c r="G36" s="63" t="str">
        <f>IF(F36="","",IF(F36="Outside India",E36,IF(F36="Outside State",10,IF(F36="Within State",8,IF(F36="None",0,0)))))</f>
        <v/>
      </c>
      <c r="H36" s="159"/>
      <c r="I36" s="60" t="str">
        <f t="shared" si="3"/>
        <v/>
      </c>
    </row>
    <row r="37" spans="1:9" ht="29.25" customHeight="1">
      <c r="A37" s="55" t="s">
        <v>186</v>
      </c>
      <c r="B37" s="152" t="s">
        <v>187</v>
      </c>
      <c r="C37" s="152"/>
      <c r="D37" s="152"/>
      <c r="E37" s="57">
        <v>5</v>
      </c>
      <c r="F37" s="58"/>
      <c r="G37" s="63" t="str">
        <f>IF(F37="","",IF(F37="Completed",E37,IF(F37="Ongoing",0.7*E37,IF(F37="Intend Submitted with Willingness",0.4*E37,IF(F37="None",0,0)))))</f>
        <v/>
      </c>
      <c r="H37" s="59" t="str">
        <f t="shared" ref="H37:H46" si="4">G37</f>
        <v/>
      </c>
      <c r="I37" s="60" t="str">
        <f t="shared" si="3"/>
        <v/>
      </c>
    </row>
    <row r="38" spans="1:9" ht="30" customHeight="1">
      <c r="A38" s="160" t="s">
        <v>188</v>
      </c>
      <c r="B38" s="148" t="s">
        <v>189</v>
      </c>
      <c r="C38" s="164" t="s">
        <v>190</v>
      </c>
      <c r="D38" s="164"/>
      <c r="E38" s="57">
        <v>2</v>
      </c>
      <c r="F38" s="62"/>
      <c r="G38" s="63" t="str">
        <f>IF(F38="","",IF(F38="Yes",E38,0))</f>
        <v/>
      </c>
      <c r="H38" s="59" t="str">
        <f t="shared" si="4"/>
        <v/>
      </c>
      <c r="I38" s="60" t="str">
        <f t="shared" si="3"/>
        <v/>
      </c>
    </row>
    <row r="39" spans="1:9" ht="30" customHeight="1">
      <c r="A39" s="160"/>
      <c r="B39" s="148"/>
      <c r="C39" s="152" t="s">
        <v>191</v>
      </c>
      <c r="D39" s="152"/>
      <c r="E39" s="57">
        <v>2</v>
      </c>
      <c r="F39" s="62" t="s">
        <v>110</v>
      </c>
      <c r="G39" s="63">
        <f t="shared" ref="G39:G44" si="5">IF(F39="","",IF(F39="Yes",E39,0))</f>
        <v>2</v>
      </c>
      <c r="H39" s="59">
        <f t="shared" si="4"/>
        <v>2</v>
      </c>
      <c r="I39" s="60" t="str">
        <f t="shared" si="3"/>
        <v>Congratulations, you have achieved the target!</v>
      </c>
    </row>
    <row r="40" spans="1:9" ht="30" customHeight="1">
      <c r="A40" s="160"/>
      <c r="B40" s="148"/>
      <c r="C40" s="152" t="s">
        <v>192</v>
      </c>
      <c r="D40" s="152"/>
      <c r="E40" s="57">
        <v>2</v>
      </c>
      <c r="F40" s="62"/>
      <c r="G40" s="63" t="str">
        <f t="shared" si="5"/>
        <v/>
      </c>
      <c r="H40" s="59" t="str">
        <f t="shared" si="4"/>
        <v/>
      </c>
      <c r="I40" s="60" t="str">
        <f t="shared" si="3"/>
        <v/>
      </c>
    </row>
    <row r="41" spans="1:9" ht="30" customHeight="1">
      <c r="A41" s="160"/>
      <c r="B41" s="148"/>
      <c r="C41" s="152" t="s">
        <v>193</v>
      </c>
      <c r="D41" s="152"/>
      <c r="E41" s="57">
        <v>1</v>
      </c>
      <c r="F41" s="62"/>
      <c r="G41" s="63" t="str">
        <f t="shared" si="5"/>
        <v/>
      </c>
      <c r="H41" s="59" t="str">
        <f t="shared" si="4"/>
        <v/>
      </c>
      <c r="I41" s="60" t="str">
        <f t="shared" si="3"/>
        <v/>
      </c>
    </row>
    <row r="42" spans="1:9" ht="30" customHeight="1">
      <c r="A42" s="160"/>
      <c r="B42" s="148"/>
      <c r="C42" s="164" t="s">
        <v>194</v>
      </c>
      <c r="D42" s="164"/>
      <c r="E42" s="57">
        <v>3</v>
      </c>
      <c r="F42" s="62"/>
      <c r="G42" s="63" t="str">
        <f t="shared" si="5"/>
        <v/>
      </c>
      <c r="H42" s="59" t="str">
        <f t="shared" si="4"/>
        <v/>
      </c>
      <c r="I42" s="60" t="str">
        <f t="shared" si="3"/>
        <v/>
      </c>
    </row>
    <row r="43" spans="1:9" ht="30" customHeight="1">
      <c r="A43" s="160"/>
      <c r="B43" s="148"/>
      <c r="C43" s="164" t="s">
        <v>195</v>
      </c>
      <c r="D43" s="164"/>
      <c r="E43" s="57">
        <v>1</v>
      </c>
      <c r="F43" s="62" t="s">
        <v>110</v>
      </c>
      <c r="G43" s="63">
        <f t="shared" si="5"/>
        <v>1</v>
      </c>
      <c r="H43" s="59">
        <f t="shared" si="4"/>
        <v>1</v>
      </c>
      <c r="I43" s="60" t="str">
        <f t="shared" si="3"/>
        <v>Congratulations, you have achieved the target!</v>
      </c>
    </row>
    <row r="44" spans="1:9" ht="30" customHeight="1">
      <c r="A44" s="160"/>
      <c r="B44" s="148"/>
      <c r="C44" s="164" t="s">
        <v>196</v>
      </c>
      <c r="D44" s="164"/>
      <c r="E44" s="57">
        <v>1</v>
      </c>
      <c r="F44" s="62" t="s">
        <v>110</v>
      </c>
      <c r="G44" s="63">
        <f t="shared" si="5"/>
        <v>1</v>
      </c>
      <c r="H44" s="59">
        <f t="shared" si="4"/>
        <v>1</v>
      </c>
      <c r="I44" s="60" t="str">
        <f t="shared" si="3"/>
        <v>Congratulations, you have achieved the target!</v>
      </c>
    </row>
    <row r="45" spans="1:9" ht="30" customHeight="1">
      <c r="A45" s="160"/>
      <c r="B45" s="148"/>
      <c r="C45" s="164" t="s">
        <v>197</v>
      </c>
      <c r="D45" s="164"/>
      <c r="E45" s="57">
        <v>5</v>
      </c>
      <c r="F45" s="69" t="s">
        <v>198</v>
      </c>
      <c r="G45" s="63">
        <f>IF(F45="","",IF(F45="&gt;10",E45,IF(F45="8--10",0.6*E45,IF(F45="5--7",0.4*E45,IF(F45="2--4",0.2*E45,IF(F45="&lt;=1",0,0))))))</f>
        <v>1</v>
      </c>
      <c r="H45" s="59">
        <f t="shared" si="4"/>
        <v>1</v>
      </c>
      <c r="I45" s="60" t="str">
        <f t="shared" si="3"/>
        <v>Good, achievable target is not far away</v>
      </c>
    </row>
    <row r="46" spans="1:9" ht="30" customHeight="1">
      <c r="A46" s="160"/>
      <c r="B46" s="148"/>
      <c r="C46" s="164" t="s">
        <v>199</v>
      </c>
      <c r="D46" s="164"/>
      <c r="E46" s="57">
        <v>8</v>
      </c>
      <c r="F46" s="62" t="s">
        <v>200</v>
      </c>
      <c r="G46" s="63">
        <f>IF(F46="","",IF(F46="&gt;500",E46,IF(F46="401-500",6,IF(F46="301-400",4,IF(F46="201-300",2,IF(F46="100-200",1,0))))))</f>
        <v>0</v>
      </c>
      <c r="H46" s="59">
        <f t="shared" si="4"/>
        <v>0</v>
      </c>
      <c r="I46" s="60" t="str">
        <f t="shared" si="3"/>
        <v>There is scope for improvement</v>
      </c>
    </row>
    <row r="47" spans="1:9" ht="48.75" customHeight="1">
      <c r="A47" s="148"/>
      <c r="B47" s="148"/>
      <c r="C47" s="148"/>
      <c r="D47" s="148"/>
      <c r="E47" s="148"/>
      <c r="F47" s="148"/>
      <c r="G47" s="148"/>
      <c r="H47" s="70">
        <f>IF(COUNTA(H3:H46)=0,"",SUM(H3:H46))</f>
        <v>146</v>
      </c>
      <c r="I47" s="71"/>
    </row>
    <row r="53" spans="1:7">
      <c r="B53" s="49"/>
      <c r="F53" s="49"/>
      <c r="G53" s="72"/>
    </row>
    <row r="54" spans="1:7">
      <c r="B54" s="49"/>
      <c r="F54" s="49"/>
      <c r="G54" s="72"/>
    </row>
    <row r="55" spans="1:7">
      <c r="B55" s="49"/>
      <c r="F55" s="49"/>
      <c r="G55" s="72"/>
    </row>
    <row r="56" spans="1:7">
      <c r="B56" s="49"/>
      <c r="F56" s="49"/>
      <c r="G56" s="72"/>
    </row>
    <row r="57" spans="1:7">
      <c r="B57" s="49"/>
      <c r="F57" s="49"/>
      <c r="G57" s="72"/>
    </row>
    <row r="58" spans="1:7" ht="15">
      <c r="A58" s="49"/>
      <c r="B58" s="49"/>
      <c r="F58" s="49"/>
      <c r="G58" s="72"/>
    </row>
    <row r="59" spans="1:7" ht="15">
      <c r="A59" s="49"/>
      <c r="B59" s="49"/>
      <c r="F59" s="49"/>
      <c r="G59" s="72"/>
    </row>
    <row r="60" spans="1:7" ht="15">
      <c r="A60" s="49"/>
      <c r="B60" s="49"/>
      <c r="F60" s="49"/>
      <c r="G60" s="72"/>
    </row>
    <row r="61" spans="1:7" ht="15">
      <c r="A61" s="49"/>
      <c r="B61" s="49"/>
      <c r="F61" s="49"/>
      <c r="G61" s="72"/>
    </row>
    <row r="62" spans="1:7" ht="15">
      <c r="A62" s="49"/>
      <c r="B62" s="49"/>
      <c r="F62" s="49"/>
      <c r="G62" s="72"/>
    </row>
    <row r="63" spans="1:7" ht="15">
      <c r="A63" s="49"/>
      <c r="B63" s="49"/>
      <c r="F63" s="49"/>
      <c r="G63" s="72"/>
    </row>
    <row r="64" spans="1:7" ht="15">
      <c r="A64" s="49"/>
      <c r="B64" s="49"/>
      <c r="F64" s="49"/>
      <c r="G64" s="72"/>
    </row>
    <row r="65" spans="1:7" ht="15">
      <c r="A65" s="49"/>
      <c r="B65" s="49"/>
      <c r="F65" s="49"/>
      <c r="G65" s="72"/>
    </row>
    <row r="66" spans="1:7" ht="15">
      <c r="A66" s="49"/>
      <c r="B66" s="49"/>
      <c r="F66" s="49"/>
      <c r="G66" s="72"/>
    </row>
    <row r="67" spans="1:7" ht="15">
      <c r="A67" s="49"/>
      <c r="B67" s="49"/>
      <c r="F67" s="49"/>
      <c r="G67" s="72"/>
    </row>
    <row r="68" spans="1:7" ht="15">
      <c r="A68" s="49"/>
      <c r="B68" s="49"/>
      <c r="F68" s="49"/>
      <c r="G68" s="72"/>
    </row>
    <row r="69" spans="1:7" ht="15">
      <c r="A69" s="49"/>
      <c r="B69" s="49"/>
      <c r="F69" s="49"/>
      <c r="G69" s="72"/>
    </row>
    <row r="70" spans="1:7" ht="15">
      <c r="A70" s="49"/>
      <c r="B70" s="49"/>
      <c r="F70" s="49"/>
      <c r="G70" s="72"/>
    </row>
    <row r="71" spans="1:7" ht="15">
      <c r="A71" s="49"/>
      <c r="B71" s="49"/>
      <c r="F71" s="49"/>
      <c r="G71" s="72"/>
    </row>
    <row r="72" spans="1:7" ht="15">
      <c r="A72" s="49"/>
      <c r="B72" s="49"/>
      <c r="F72" s="49"/>
      <c r="G72" s="72"/>
    </row>
    <row r="73" spans="1:7" ht="15">
      <c r="A73" s="49"/>
      <c r="B73" s="49"/>
      <c r="F73" s="49"/>
      <c r="G73" s="72"/>
    </row>
    <row r="74" spans="1:7" ht="15">
      <c r="A74" s="49"/>
      <c r="B74" s="49"/>
      <c r="F74" s="49"/>
      <c r="G74" s="72"/>
    </row>
    <row r="75" spans="1:7" ht="15">
      <c r="A75" s="49"/>
      <c r="B75" s="49"/>
      <c r="F75" s="49"/>
      <c r="G75" s="72"/>
    </row>
    <row r="76" spans="1:7" ht="15">
      <c r="A76" s="49"/>
      <c r="B76" s="49"/>
      <c r="F76" s="49"/>
      <c r="G76" s="72"/>
    </row>
    <row r="77" spans="1:7" ht="15">
      <c r="A77" s="49"/>
      <c r="B77" s="49"/>
      <c r="F77" s="49"/>
      <c r="G77" s="72"/>
    </row>
    <row r="78" spans="1:7" ht="15">
      <c r="A78" s="49"/>
      <c r="B78" s="49"/>
      <c r="F78" s="49"/>
      <c r="G78" s="72"/>
    </row>
    <row r="79" spans="1:7" ht="15">
      <c r="A79" s="49"/>
      <c r="B79" s="49"/>
      <c r="F79" s="49"/>
      <c r="G79" s="72"/>
    </row>
    <row r="80" spans="1:7" ht="15">
      <c r="A80" s="49"/>
      <c r="B80" s="49"/>
      <c r="F80" s="49"/>
      <c r="G80" s="72"/>
    </row>
    <row r="81" spans="1:7" ht="15">
      <c r="A81" s="49"/>
      <c r="B81" s="49"/>
      <c r="F81" s="49"/>
      <c r="G81" s="72"/>
    </row>
    <row r="82" spans="1:7" ht="15">
      <c r="A82" s="49"/>
      <c r="B82" s="49"/>
      <c r="F82" s="49"/>
      <c r="G82" s="72"/>
    </row>
    <row r="83" spans="1:7" ht="15">
      <c r="A83" s="49"/>
      <c r="B83" s="49"/>
      <c r="F83" s="49"/>
      <c r="G83" s="72"/>
    </row>
    <row r="84" spans="1:7" ht="15">
      <c r="A84" s="49"/>
      <c r="B84" s="49"/>
      <c r="F84" s="49"/>
      <c r="G84" s="72"/>
    </row>
    <row r="85" spans="1:7" ht="15">
      <c r="A85" s="49"/>
      <c r="B85" s="49"/>
      <c r="F85" s="49"/>
      <c r="G85" s="72"/>
    </row>
    <row r="86" spans="1:7" ht="15">
      <c r="A86" s="49"/>
      <c r="B86" s="49"/>
      <c r="F86" s="49"/>
      <c r="G86" s="72"/>
    </row>
    <row r="87" spans="1:7" ht="15">
      <c r="A87" s="49"/>
      <c r="B87" s="49"/>
      <c r="F87" s="49"/>
      <c r="G87" s="72"/>
    </row>
    <row r="88" spans="1:7" ht="15">
      <c r="A88" s="49"/>
      <c r="B88" s="49"/>
      <c r="F88" s="49"/>
      <c r="G88" s="72"/>
    </row>
    <row r="89" spans="1:7" ht="15">
      <c r="A89" s="49"/>
      <c r="B89" s="49"/>
      <c r="F89" s="49"/>
      <c r="G89" s="72"/>
    </row>
    <row r="90" spans="1:7" ht="15">
      <c r="A90" s="49"/>
      <c r="B90" s="49"/>
      <c r="F90" s="49"/>
      <c r="G90" s="72"/>
    </row>
    <row r="91" spans="1:7" ht="15">
      <c r="A91" s="49"/>
      <c r="B91" s="49"/>
      <c r="F91" s="49"/>
      <c r="G91" s="72"/>
    </row>
    <row r="92" spans="1:7" ht="15">
      <c r="A92" s="49"/>
      <c r="B92" s="49"/>
      <c r="F92" s="49"/>
      <c r="G92" s="72"/>
    </row>
    <row r="93" spans="1:7" ht="15">
      <c r="A93" s="49"/>
      <c r="B93" s="49"/>
      <c r="F93" s="49"/>
      <c r="G93" s="72"/>
    </row>
    <row r="94" spans="1:7" ht="15">
      <c r="A94" s="49"/>
      <c r="B94" s="49"/>
      <c r="F94" s="49"/>
      <c r="G94" s="72"/>
    </row>
    <row r="95" spans="1:7" ht="15">
      <c r="A95" s="49"/>
      <c r="B95" s="49"/>
      <c r="F95" s="49"/>
      <c r="G95" s="72"/>
    </row>
    <row r="96" spans="1:7" ht="15">
      <c r="A96" s="49"/>
      <c r="B96" s="49"/>
      <c r="F96" s="49"/>
      <c r="G96" s="72"/>
    </row>
    <row r="97" spans="1:7" ht="15">
      <c r="A97" s="49"/>
      <c r="B97" s="49"/>
      <c r="F97" s="49"/>
      <c r="G97" s="72"/>
    </row>
    <row r="98" spans="1:7" ht="15">
      <c r="A98" s="49"/>
      <c r="B98" s="49"/>
      <c r="F98" s="49"/>
      <c r="G98" s="72"/>
    </row>
    <row r="99" spans="1:7" ht="15">
      <c r="A99" s="49"/>
      <c r="B99" s="49"/>
      <c r="F99" s="49"/>
      <c r="G99" s="72"/>
    </row>
    <row r="100" spans="1:7" ht="15">
      <c r="A100" s="49"/>
      <c r="B100" s="49"/>
      <c r="F100" s="49"/>
      <c r="G100" s="72"/>
    </row>
    <row r="101" spans="1:7" ht="15">
      <c r="A101" s="49"/>
      <c r="B101" s="49"/>
      <c r="F101" s="49"/>
      <c r="G101" s="72"/>
    </row>
    <row r="102" spans="1:7" ht="15">
      <c r="A102" s="49"/>
      <c r="B102" s="49"/>
      <c r="F102" s="49"/>
      <c r="G102" s="72"/>
    </row>
    <row r="103" spans="1:7" ht="15">
      <c r="A103" s="49"/>
      <c r="B103" s="49"/>
      <c r="F103" s="49"/>
      <c r="G103" s="72"/>
    </row>
    <row r="104" spans="1:7" ht="15">
      <c r="A104" s="49"/>
      <c r="B104" s="49"/>
      <c r="F104" s="49"/>
      <c r="G104" s="72"/>
    </row>
    <row r="105" spans="1:7" ht="15">
      <c r="A105" s="49"/>
      <c r="B105" s="49"/>
      <c r="F105" s="49"/>
      <c r="G105" s="72"/>
    </row>
    <row r="106" spans="1:7" ht="15">
      <c r="A106" s="49"/>
      <c r="B106" s="49"/>
      <c r="F106" s="49"/>
      <c r="G106" s="72"/>
    </row>
    <row r="107" spans="1:7" ht="15">
      <c r="A107" s="49"/>
      <c r="B107" s="49"/>
      <c r="F107" s="49"/>
      <c r="G107" s="72"/>
    </row>
    <row r="108" spans="1:7" ht="15">
      <c r="A108" s="49"/>
      <c r="B108" s="49"/>
      <c r="F108" s="49"/>
      <c r="G108" s="72"/>
    </row>
    <row r="109" spans="1:7" ht="15">
      <c r="A109" s="49"/>
      <c r="B109" s="49"/>
      <c r="F109" s="49"/>
      <c r="G109" s="72"/>
    </row>
    <row r="110" spans="1:7" ht="15">
      <c r="A110" s="49"/>
      <c r="B110" s="49"/>
      <c r="F110" s="49"/>
      <c r="G110" s="72"/>
    </row>
    <row r="111" spans="1:7" ht="15">
      <c r="A111" s="49"/>
      <c r="B111" s="49"/>
      <c r="F111" s="49"/>
      <c r="G111" s="72"/>
    </row>
    <row r="112" spans="1:7" ht="15">
      <c r="A112" s="49"/>
      <c r="B112" s="49"/>
      <c r="F112" s="49"/>
      <c r="G112" s="72"/>
    </row>
    <row r="113" spans="1:7" ht="15">
      <c r="A113" s="49"/>
      <c r="B113" s="49"/>
      <c r="F113" s="49"/>
      <c r="G113" s="72"/>
    </row>
    <row r="114" spans="1:7" ht="15">
      <c r="A114" s="49"/>
      <c r="B114" s="49"/>
      <c r="F114" s="49"/>
      <c r="G114" s="72"/>
    </row>
    <row r="115" spans="1:7" ht="15">
      <c r="A115" s="49"/>
      <c r="B115" s="49"/>
      <c r="F115" s="49"/>
      <c r="G115" s="72"/>
    </row>
    <row r="116" spans="1:7" ht="15">
      <c r="A116" s="49"/>
      <c r="B116" s="49"/>
      <c r="F116" s="49"/>
      <c r="G116" s="72"/>
    </row>
    <row r="117" spans="1:7" ht="15">
      <c r="A117" s="49"/>
      <c r="B117" s="49"/>
      <c r="F117" s="49"/>
      <c r="G117" s="72"/>
    </row>
    <row r="118" spans="1:7" ht="15">
      <c r="A118" s="49"/>
      <c r="B118" s="49"/>
      <c r="F118" s="49"/>
      <c r="G118" s="72"/>
    </row>
    <row r="119" spans="1:7" ht="15">
      <c r="A119" s="49"/>
      <c r="B119" s="49"/>
      <c r="F119" s="49"/>
      <c r="G119" s="72"/>
    </row>
    <row r="120" spans="1:7" ht="15">
      <c r="A120" s="49"/>
      <c r="B120" s="49"/>
      <c r="F120" s="49"/>
      <c r="G120" s="72"/>
    </row>
    <row r="121" spans="1:7" ht="15">
      <c r="A121" s="49"/>
      <c r="B121" s="49"/>
      <c r="F121" s="49"/>
      <c r="G121" s="72"/>
    </row>
    <row r="122" spans="1:7" ht="15">
      <c r="A122" s="49"/>
      <c r="B122" s="49"/>
      <c r="F122" s="49"/>
      <c r="G122" s="72"/>
    </row>
    <row r="123" spans="1:7" ht="15">
      <c r="A123" s="49"/>
      <c r="B123" s="49"/>
      <c r="F123" s="49"/>
      <c r="G123" s="72"/>
    </row>
    <row r="124" spans="1:7" ht="15">
      <c r="A124" s="49"/>
      <c r="B124" s="49"/>
      <c r="F124" s="49"/>
      <c r="G124" s="72"/>
    </row>
    <row r="125" spans="1:7" ht="15">
      <c r="A125" s="49"/>
      <c r="B125" s="49"/>
      <c r="F125" s="49"/>
      <c r="G125" s="72"/>
    </row>
    <row r="126" spans="1:7" ht="15">
      <c r="A126" s="49"/>
      <c r="B126" s="49"/>
      <c r="F126" s="49"/>
      <c r="G126" s="72"/>
    </row>
    <row r="127" spans="1:7" ht="15">
      <c r="A127" s="49"/>
      <c r="B127" s="49"/>
      <c r="F127" s="49"/>
      <c r="G127" s="72"/>
    </row>
    <row r="128" spans="1:7" ht="15">
      <c r="A128" s="49"/>
      <c r="B128" s="49"/>
      <c r="F128" s="49"/>
      <c r="G128" s="72"/>
    </row>
    <row r="129" spans="1:7" ht="15">
      <c r="A129" s="49"/>
      <c r="B129" s="49"/>
      <c r="F129" s="49"/>
      <c r="G129" s="72"/>
    </row>
    <row r="130" spans="1:7" ht="15">
      <c r="A130" s="49"/>
      <c r="B130" s="49"/>
      <c r="F130" s="49"/>
      <c r="G130" s="72"/>
    </row>
    <row r="131" spans="1:7" ht="15">
      <c r="A131" s="49"/>
      <c r="B131" s="49"/>
      <c r="F131" s="49"/>
      <c r="G131" s="72"/>
    </row>
    <row r="132" spans="1:7" ht="15">
      <c r="A132" s="49"/>
      <c r="B132" s="49"/>
      <c r="F132" s="49"/>
      <c r="G132" s="72"/>
    </row>
    <row r="133" spans="1:7" ht="15">
      <c r="A133" s="49"/>
      <c r="B133" s="49"/>
      <c r="F133" s="49"/>
      <c r="G133" s="72"/>
    </row>
    <row r="134" spans="1:7" ht="15">
      <c r="A134" s="49"/>
      <c r="B134" s="49"/>
      <c r="F134" s="49"/>
      <c r="G134" s="72"/>
    </row>
    <row r="135" spans="1:7" ht="15">
      <c r="A135" s="49"/>
      <c r="B135" s="49"/>
      <c r="F135" s="49"/>
      <c r="G135" s="72"/>
    </row>
    <row r="136" spans="1:7" ht="15">
      <c r="A136" s="49"/>
      <c r="B136" s="49"/>
      <c r="F136" s="49"/>
      <c r="G136" s="72"/>
    </row>
    <row r="137" spans="1:7" ht="15">
      <c r="A137" s="49"/>
      <c r="B137" s="49"/>
      <c r="F137" s="49"/>
      <c r="G137" s="72"/>
    </row>
    <row r="138" spans="1:7" ht="15">
      <c r="A138" s="49"/>
      <c r="B138" s="49"/>
      <c r="F138" s="49"/>
      <c r="G138" s="72"/>
    </row>
    <row r="139" spans="1:7" ht="15">
      <c r="A139" s="49"/>
      <c r="B139" s="49"/>
      <c r="F139" s="49"/>
      <c r="G139" s="72"/>
    </row>
    <row r="140" spans="1:7" ht="15">
      <c r="A140" s="49"/>
      <c r="B140" s="49"/>
      <c r="F140" s="49"/>
      <c r="G140" s="72"/>
    </row>
    <row r="141" spans="1:7" ht="15">
      <c r="A141" s="49"/>
      <c r="B141" s="49"/>
      <c r="F141" s="49"/>
      <c r="G141" s="72"/>
    </row>
    <row r="142" spans="1:7" ht="15">
      <c r="A142" s="49"/>
      <c r="B142" s="49"/>
      <c r="F142" s="49"/>
      <c r="G142" s="72"/>
    </row>
  </sheetData>
  <sheetProtection password="BCCA" sheet="1" objects="1" scenarios="1"/>
  <mergeCells count="71">
    <mergeCell ref="A1:I1"/>
    <mergeCell ref="A2:D2"/>
    <mergeCell ref="C6:D6"/>
    <mergeCell ref="C7:D7"/>
    <mergeCell ref="C8:D8"/>
    <mergeCell ref="C3:C5"/>
    <mergeCell ref="E3:E8"/>
    <mergeCell ref="H3:H8"/>
    <mergeCell ref="C9:D9"/>
    <mergeCell ref="C10:D10"/>
    <mergeCell ref="C11:D11"/>
    <mergeCell ref="C12:D12"/>
    <mergeCell ref="C13:D13"/>
    <mergeCell ref="C14:D14"/>
    <mergeCell ref="B15:D15"/>
    <mergeCell ref="B16:G16"/>
    <mergeCell ref="B17:D17"/>
    <mergeCell ref="B18:C18"/>
    <mergeCell ref="B13:B14"/>
    <mergeCell ref="B19:C19"/>
    <mergeCell ref="B20:C20"/>
    <mergeCell ref="B21:D21"/>
    <mergeCell ref="B22:D22"/>
    <mergeCell ref="B23:D23"/>
    <mergeCell ref="B24:C24"/>
    <mergeCell ref="B25:D25"/>
    <mergeCell ref="B26:D26"/>
    <mergeCell ref="B27:D27"/>
    <mergeCell ref="B28:D28"/>
    <mergeCell ref="B29:D29"/>
    <mergeCell ref="B30:D30"/>
    <mergeCell ref="B31:D31"/>
    <mergeCell ref="B32:D32"/>
    <mergeCell ref="B33:D33"/>
    <mergeCell ref="B37:D37"/>
    <mergeCell ref="C38:D38"/>
    <mergeCell ref="B38:B46"/>
    <mergeCell ref="C39:D39"/>
    <mergeCell ref="C40:D40"/>
    <mergeCell ref="C41:D41"/>
    <mergeCell ref="C42:D42"/>
    <mergeCell ref="C43:D43"/>
    <mergeCell ref="C44:D44"/>
    <mergeCell ref="C45:D45"/>
    <mergeCell ref="C46:D46"/>
    <mergeCell ref="A47:G47"/>
    <mergeCell ref="A3:A14"/>
    <mergeCell ref="A15:A20"/>
    <mergeCell ref="A21:A22"/>
    <mergeCell ref="A23:A27"/>
    <mergeCell ref="A28:A29"/>
    <mergeCell ref="A30:A31"/>
    <mergeCell ref="A32:A33"/>
    <mergeCell ref="A34:A36"/>
    <mergeCell ref="A38:A46"/>
    <mergeCell ref="B3:B8"/>
    <mergeCell ref="B9:B10"/>
    <mergeCell ref="B11:B12"/>
    <mergeCell ref="B34:D34"/>
    <mergeCell ref="B35:D35"/>
    <mergeCell ref="B36:C36"/>
    <mergeCell ref="H9:H10"/>
    <mergeCell ref="H11:H12"/>
    <mergeCell ref="H13:H14"/>
    <mergeCell ref="H15:H20"/>
    <mergeCell ref="H21:H22"/>
    <mergeCell ref="H23:H27"/>
    <mergeCell ref="H28:H29"/>
    <mergeCell ref="H30:H31"/>
    <mergeCell ref="H32:H33"/>
    <mergeCell ref="H34:H36"/>
  </mergeCells>
  <conditionalFormatting sqref="I3">
    <cfRule type="expression" dxfId="35" priority="19">
      <formula>ISNUMBER(SEARCH("There is scope for improvement",I3))</formula>
    </cfRule>
    <cfRule type="expression" dxfId="34" priority="20">
      <formula>ISNUMBER(SEARCH("Good, achievable target is not far away",I3))</formula>
    </cfRule>
    <cfRule type="expression" dxfId="33" priority="21">
      <formula>ISNUMBER(SEARCH("Congratulations, you have achieved the target!",I3))</formula>
    </cfRule>
  </conditionalFormatting>
  <conditionalFormatting sqref="I4">
    <cfRule type="expression" dxfId="32" priority="13">
      <formula>ISNUMBER(SEARCH("There is scope for improvement",I4))</formula>
    </cfRule>
    <cfRule type="expression" dxfId="31" priority="14">
      <formula>ISNUMBER(SEARCH("Good, achievable target is not far away",I4))</formula>
    </cfRule>
    <cfRule type="expression" dxfId="30" priority="15">
      <formula>ISNUMBER(SEARCH("Congratulations, you have achieved the target!",I4))</formula>
    </cfRule>
  </conditionalFormatting>
  <conditionalFormatting sqref="I5">
    <cfRule type="expression" dxfId="29" priority="10">
      <formula>ISNUMBER(SEARCH("There is scope for improvement",I5))</formula>
    </cfRule>
    <cfRule type="expression" dxfId="28" priority="11">
      <formula>ISNUMBER(SEARCH("Good, achievable target is not far away",I5))</formula>
    </cfRule>
    <cfRule type="expression" dxfId="27" priority="12">
      <formula>ISNUMBER(SEARCH("Congratulations, you have achieved the target!",I5))</formula>
    </cfRule>
  </conditionalFormatting>
  <conditionalFormatting sqref="I6">
    <cfRule type="expression" dxfId="26" priority="1">
      <formula>ISNUMBER(SEARCH("There is scope for improvement",I6))</formula>
    </cfRule>
    <cfRule type="expression" dxfId="25" priority="2">
      <formula>ISNUMBER(SEARCH("Good, achievable target is not far away",I6))</formula>
    </cfRule>
    <cfRule type="expression" dxfId="24" priority="3">
      <formula>ISNUMBER(SEARCH("Congratulations, you have achieved the target!",I6))</formula>
    </cfRule>
  </conditionalFormatting>
  <conditionalFormatting sqref="I34">
    <cfRule type="expression" dxfId="23" priority="28">
      <formula>ISNUMBER(SEARCH("There is scope for improvement",I34))</formula>
    </cfRule>
    <cfRule type="expression" dxfId="22" priority="29">
      <formula>ISNUMBER(SEARCH("Good, achievable target is not far away",I34))</formula>
    </cfRule>
    <cfRule type="expression" dxfId="21" priority="30">
      <formula>ISNUMBER(SEARCH("Congratulations, you have achieved the target!",I34))</formula>
    </cfRule>
  </conditionalFormatting>
  <conditionalFormatting sqref="I7:I8">
    <cfRule type="expression" dxfId="20" priority="7">
      <formula>ISNUMBER(SEARCH("There is scope for improvement",I7))</formula>
    </cfRule>
    <cfRule type="expression" dxfId="19" priority="8">
      <formula>ISNUMBER(SEARCH("Good, achievable target is not far away",I7))</formula>
    </cfRule>
    <cfRule type="expression" dxfId="18" priority="9">
      <formula>ISNUMBER(SEARCH("Congratulations, you have achieved the target!",I7))</formula>
    </cfRule>
  </conditionalFormatting>
  <conditionalFormatting sqref="I10:I15">
    <cfRule type="expression" dxfId="17" priority="31">
      <formula>ISNUMBER(SEARCH("There is scope for improvement",I10))</formula>
    </cfRule>
    <cfRule type="expression" dxfId="16" priority="32">
      <formula>ISNUMBER(SEARCH("Good, achievable target is not far away",I10))</formula>
    </cfRule>
    <cfRule type="expression" dxfId="15" priority="33">
      <formula>ISNUMBER(SEARCH("Congratulations, you have achieved the target!",I10))</formula>
    </cfRule>
  </conditionalFormatting>
  <conditionalFormatting sqref="I9 I17:I33 I35:I46">
    <cfRule type="expression" dxfId="14" priority="34">
      <formula>ISNUMBER(SEARCH("There is scope for improvement",I9))</formula>
    </cfRule>
    <cfRule type="expression" dxfId="13" priority="35">
      <formula>ISNUMBER(SEARCH("Good, achievable target is not far away",I9))</formula>
    </cfRule>
    <cfRule type="expression" dxfId="12" priority="36">
      <formula>ISNUMBER(SEARCH("Congratulations, you have achieved the target!",I9))</formula>
    </cfRule>
  </conditionalFormatting>
  <dataValidations count="15">
    <dataValidation type="list" allowBlank="1" showInputMessage="1" showErrorMessage="1" sqref="F15 F30:F31 F38:F44" xr:uid="{00000000-0002-0000-0200-000000000000}">
      <formula1>"Yes,No"</formula1>
    </dataValidation>
    <dataValidation type="list" allowBlank="1" showInputMessage="1" showErrorMessage="1" sqref="F23" xr:uid="{00000000-0002-0000-0200-000001000000}">
      <formula1>"Principal Investigator, Co-Principal Investigator,No"</formula1>
    </dataValidation>
    <dataValidation type="list" allowBlank="1" showInputMessage="1" showErrorMessage="1" sqref="D24" xr:uid="{00000000-0002-0000-0200-000002000000}">
      <formula1>"Principal Investigator,Co-Principal Investigator"</formula1>
    </dataValidation>
    <dataValidation type="list" allowBlank="1" showInputMessage="1" showErrorMessage="1" sqref="F24" xr:uid="{00000000-0002-0000-0200-000003000000}">
      <formula1>"&gt;30L,&gt;20L-30L,&gt;10L-20L,&gt;50K-10L,&lt;50K,No Project"</formula1>
    </dataValidation>
    <dataValidation type="list" allowBlank="1" showInputMessage="1" showErrorMessage="1" sqref="F25" xr:uid="{00000000-0002-0000-0200-000004000000}">
      <formula1>"50%,25%,10%,5%,No Project"</formula1>
    </dataValidation>
    <dataValidation type="list" allowBlank="1" showInputMessage="1" showErrorMessage="1" sqref="F26" xr:uid="{00000000-0002-0000-0200-000005000000}">
      <formula1>"&gt;5L, &gt;3L-&lt;5L, &lt;3L-50K,No Project"</formula1>
    </dataValidation>
    <dataValidation type="list" allowBlank="1" showInputMessage="1" showErrorMessage="1" sqref="F27" xr:uid="{00000000-0002-0000-0200-000006000000}">
      <formula1>"&gt;5L, &gt;3L-&lt;5L, &lt;3L-50K,No Projects"</formula1>
    </dataValidation>
    <dataValidation type="list" allowBlank="1" showInputMessage="1" showErrorMessage="1" sqref="F35" xr:uid="{00000000-0002-0000-0200-000007000000}">
      <formula1>"Convener/Organizing Secretary,Co-Convener,Organizing committee,None"</formula1>
    </dataValidation>
    <dataValidation type="list" allowBlank="1" showInputMessage="1" showErrorMessage="1" sqref="F36" xr:uid="{00000000-0002-0000-0200-000008000000}">
      <formula1>"Within State,Outside State,Outside India,None"</formula1>
    </dataValidation>
    <dataValidation type="list" allowBlank="1" showInputMessage="1" showErrorMessage="1" sqref="F37" xr:uid="{00000000-0002-0000-0200-000009000000}">
      <formula1>"Completed,Ongoing,Intend Submitted with Willingness,None"</formula1>
    </dataValidation>
    <dataValidation type="list" allowBlank="1" showInputMessage="1" showErrorMessage="1" sqref="F45" xr:uid="{00000000-0002-0000-0200-00000A000000}">
      <formula1>"&gt;10,8--10,5--7,2--4,&lt;=1"</formula1>
    </dataValidation>
    <dataValidation type="list" allowBlank="1" showInputMessage="1" showErrorMessage="1" sqref="F46" xr:uid="{00000000-0002-0000-0200-00000B000000}">
      <formula1>"&gt;500,401-500,301-400,201-300,100-200,&lt;99"</formula1>
    </dataValidation>
    <dataValidation type="list" allowBlank="1" showInputMessage="1" showErrorMessage="1" sqref="D18:D20" xr:uid="{00000000-0002-0000-0200-00000C000000}">
      <formula1>"Successfully Completed,Elite,Silver,Gold"</formula1>
    </dataValidation>
    <dataValidation type="list" allowBlank="1" showInputMessage="1" showErrorMessage="1" sqref="F4:F5 F7:F8 F32:F33" xr:uid="{00000000-0002-0000-0200-00000D000000}">
      <formula1>"&gt;=1,0"</formula1>
    </dataValidation>
    <dataValidation type="list" allowBlank="1" showInputMessage="1" showErrorMessage="1" sqref="F28:F29" xr:uid="{00000000-0002-0000-0200-00000E000000}">
      <formula1>"&gt;=5L,&gt;4L-&lt;5L,&gt;3L-&lt;4L,&gt;2L-&lt;3L,&lt;2L,0"</formula1>
    </dataValidation>
  </dataValidations>
  <printOptions horizontalCentered="1"/>
  <pageMargins left="0.25" right="0.25" top="0.75" bottom="0.75" header="0.3" footer="0.3"/>
  <pageSetup paperSize="9" scale="83" fitToHeight="2" orientation="landscape"/>
  <ignoredErrors>
    <ignoredError sqref="I6" 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Sheet2!$A$21:$A$27</xm:f>
          </x14:formula1>
          <xm:sqref>F34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59999389629810485"/>
  </sheetPr>
  <dimension ref="A1:XFD59"/>
  <sheetViews>
    <sheetView topLeftCell="A16" zoomScale="70" zoomScaleNormal="70" zoomScaleSheetLayoutView="40" workbookViewId="0">
      <selection activeCell="B9" sqref="B9"/>
    </sheetView>
  </sheetViews>
  <sheetFormatPr defaultColWidth="4.7109375" defaultRowHeight="15.75"/>
  <cols>
    <col min="1" max="1" width="17.5703125" style="9" customWidth="1"/>
    <col min="2" max="2" width="101.85546875" style="10" customWidth="1"/>
    <col min="3" max="3" width="6.85546875" style="10" customWidth="1"/>
    <col min="4" max="4" width="11" style="10" customWidth="1"/>
    <col min="5" max="5" width="11.42578125" style="10" customWidth="1"/>
    <col min="6" max="6" width="8.140625" style="10" customWidth="1"/>
    <col min="7" max="7" width="17.28515625" style="10" customWidth="1"/>
    <col min="8" max="8" width="34.42578125" style="11" customWidth="1"/>
    <col min="9" max="9" width="3.42578125" style="12"/>
    <col min="10" max="19" width="8.7109375" style="12" customWidth="1"/>
    <col min="20" max="20" width="10.140625" style="12" customWidth="1"/>
    <col min="21" max="16354" width="4.7109375" style="12"/>
    <col min="16355" max="16355" width="10.42578125" style="12" customWidth="1"/>
    <col min="16356" max="16379" width="9.140625" style="12"/>
    <col min="16380" max="16380" width="9" style="12" customWidth="1"/>
    <col min="16381" max="16383" width="9.140625" style="12" hidden="1" customWidth="1"/>
    <col min="16384" max="16384" width="3.85546875" style="12" hidden="1" customWidth="1"/>
  </cols>
  <sheetData>
    <row r="1" spans="1:20 16381:16384" ht="78" customHeight="1">
      <c r="A1" s="179"/>
      <c r="B1" s="179"/>
      <c r="C1" s="179"/>
      <c r="D1" s="179"/>
      <c r="E1" s="179"/>
      <c r="F1" s="179"/>
      <c r="G1" s="179"/>
      <c r="H1" s="179"/>
      <c r="XFA1" s="12">
        <v>0</v>
      </c>
    </row>
    <row r="2" spans="1:20 16381:16384" ht="25.5" customHeight="1">
      <c r="A2" s="180" t="s">
        <v>201</v>
      </c>
      <c r="B2" s="180"/>
      <c r="C2" s="13" t="s">
        <v>202</v>
      </c>
      <c r="D2" s="14" t="s">
        <v>102</v>
      </c>
      <c r="E2" s="15" t="s">
        <v>103</v>
      </c>
      <c r="F2" s="16" t="s">
        <v>104</v>
      </c>
      <c r="G2" s="16" t="s">
        <v>105</v>
      </c>
      <c r="H2" s="16" t="s">
        <v>106</v>
      </c>
      <c r="J2" s="106" t="str">
        <f>IF(B4="Non-department level person",B21,IF(B4="",B21,B4))</f>
        <v>BoInfra No of Tasks completed against the tasks Given in the List (Self Awarding)</v>
      </c>
      <c r="K2" s="106"/>
      <c r="L2" s="106"/>
      <c r="M2" s="106"/>
      <c r="N2" s="106"/>
      <c r="O2" s="106"/>
      <c r="P2" s="106"/>
      <c r="Q2" s="106"/>
      <c r="R2" s="106"/>
      <c r="S2" s="106"/>
      <c r="XFA2" s="12">
        <v>1</v>
      </c>
      <c r="XFB2" s="12">
        <v>1</v>
      </c>
      <c r="XFC2" s="17" t="s">
        <v>203</v>
      </c>
      <c r="XFD2" s="18">
        <v>15</v>
      </c>
    </row>
    <row r="3" spans="1:20 16381:16384" ht="30" customHeight="1">
      <c r="A3" s="177" t="s">
        <v>204</v>
      </c>
      <c r="B3" s="6" t="s">
        <v>205</v>
      </c>
      <c r="C3" s="19">
        <v>6</v>
      </c>
      <c r="D3" s="20">
        <v>75</v>
      </c>
      <c r="E3" s="21">
        <v>6</v>
      </c>
      <c r="F3" s="22">
        <f>IF(C3="","",IF(D3="","",IF(E3="","",(D3/C3)*E3)))</f>
        <v>75</v>
      </c>
      <c r="G3" s="182">
        <f>IF((F3&amp;F4&amp;F5&amp;F6&amp;F7&amp;F8&amp;F9)="","",MIN(SUM(F3:F9),333))</f>
        <v>328</v>
      </c>
      <c r="H3" s="23" t="str">
        <f>IF(OR(D3="",E3="",F3=""),"",IF(AND(ISNUMBER(D3),ISNUMBER(F3)),IF(F3&gt;0.9*D3,"Congratulations, you have achieved the target!",IF(F3&lt;0.1*D3,"There is scope for improvement","Good, achievable target is not far away")),""))</f>
        <v>Congratulations, you have achieved the target!</v>
      </c>
      <c r="J3" s="173" t="str">
        <f>IFERROR(IF(B4="Non-department level person",INDEX(Sheet2!$C$12:$C$17,MATCH(B21,$XFC$54:$XFC$59,0)),IF(B4&lt;&gt;"",INDEX(Sheet2!$C$1:$C$11,MATCH(B4,$XFC$2:$XFC$12,0)),INDEX(Sheet2!$C$12:$C$17,MATCH(B21,$XFC$54:$XFC$59,0)))),"")</f>
        <v>1. The readiness has to be checked before the budget released for purchase / maintenance of laboratories.
2. Requirements of classrooms and laboratories need to be calculated and informed to HoD for commencement of new semester.
3. Ensure readiness of classroom like Boards, Smartboards, curtains, Chairs, Desks, Fans, Centralized ACs are arranged properly.
4. In Academic laboratories before commencement of each semester make sure that Dos and Don’ts, Safety Measures, First Aid Kit, Personal Protective Equipment and all Equipments are in Working Condition. A report for this arrangement with the signature of HoD and School Dean.
5. Stock Registers for laboratories, research centres, centre of excellence like laboratory equipment Register, Consumables Register, Maintenance Register, utilization register, chemical stock, glass ware etc should be maintained with details of bills for laboratory equipment, computers &amp; application software, printers, Electronic parts, devices, repairs, daily consumables etc. for all labs need to be maintained.
6. Industry, Academic, GO and NGO or any societal linkages to the laboratories and related MOUs should be maintained.
7. Details of Name of the laboratories, Records of Major equipment and their cost, safety measures adopted in each laboratory should be maintained.
8. Anything purchased related to laboratories need to be updated immediately in stock register.
9. Maintain geo tagged photos of all the classrooms and laboratories.
10. Perform internal audits including safety audit every semester.
11. Calibration of the equipment claimed by lab technician or lab assistant - a record should be maintained semester wise with the HoD and School Dean signature.
12. Availability of notice board in each department.
13. Day wise Cleaning and Maintenance of Laboratories - A record must be maintained.</v>
      </c>
      <c r="K3" s="173"/>
      <c r="L3" s="173"/>
      <c r="M3" s="173"/>
      <c r="N3" s="173"/>
      <c r="O3" s="173"/>
      <c r="P3" s="173"/>
      <c r="Q3" s="173"/>
      <c r="R3" s="173"/>
      <c r="S3" s="173"/>
      <c r="XFA3" s="12">
        <v>2</v>
      </c>
      <c r="XFB3" s="12">
        <v>2</v>
      </c>
      <c r="XFC3" s="17" t="s">
        <v>206</v>
      </c>
      <c r="XFD3" s="18">
        <v>5</v>
      </c>
    </row>
    <row r="4" spans="1:20 16381:16384" ht="30" customHeight="1">
      <c r="A4" s="177"/>
      <c r="B4" s="24" t="s">
        <v>207</v>
      </c>
      <c r="C4" s="19">
        <f>IFERROR(INDEX($XFD$2:$XFD$12,MATCH($B$4,$XFC$2:$XFC$12,0)),0)</f>
        <v>13</v>
      </c>
      <c r="D4" s="20">
        <v>50</v>
      </c>
      <c r="E4" s="25">
        <v>13</v>
      </c>
      <c r="F4" s="22">
        <f>IF(OR(C4="",D4="",E4=""),"",IF(E4&gt;C4,"Error",IF(C4=0,"",D4/C4*E4)))</f>
        <v>50</v>
      </c>
      <c r="G4" s="182"/>
      <c r="H4" s="23" t="str">
        <f>IF(OR(D4="",E4="",F4=""),"",IF(AND(ISNUMBER(D4),ISNUMBER(F4)),IF(F4&gt;0.9*D4,"Congratulations, you have achieved the target!",IF(F4&lt;0.1*D4,"There is scope for improvement","Good, achievable target is not far away")),""))</f>
        <v>Congratulations, you have achieved the target!</v>
      </c>
      <c r="I4" s="26"/>
      <c r="J4" s="173"/>
      <c r="K4" s="173"/>
      <c r="L4" s="173"/>
      <c r="M4" s="173"/>
      <c r="N4" s="173"/>
      <c r="O4" s="173"/>
      <c r="P4" s="173"/>
      <c r="Q4" s="173"/>
      <c r="R4" s="173"/>
      <c r="S4" s="173"/>
      <c r="XFA4" s="12">
        <v>3</v>
      </c>
      <c r="XFB4" s="12">
        <v>3</v>
      </c>
      <c r="XFC4" s="17" t="s">
        <v>208</v>
      </c>
      <c r="XFD4" s="18">
        <v>10</v>
      </c>
    </row>
    <row r="5" spans="1:20 16381:16384" ht="30" customHeight="1">
      <c r="A5" s="177"/>
      <c r="B5" s="27" t="str">
        <f>IFERROR(INDEX($XFC$16:$XFC$26,MATCH(B4,$XFC$2:$XFC$12,0)),"")</f>
        <v>List of Tasks completed Against tasks given in the list BoInfra will be evaluated further by Appraisal Committee</v>
      </c>
      <c r="C5" s="19">
        <f>IFERROR(INDEX($XFD$2:$XFD$12,MATCH($B$4,$XFC$2:$XFC$12,0)),0)</f>
        <v>13</v>
      </c>
      <c r="D5" s="20">
        <v>25</v>
      </c>
      <c r="E5" s="28">
        <v>13</v>
      </c>
      <c r="F5" s="22">
        <f>IF(OR(C5="",D5="",E5=""),"",IF(E5&gt;C5,"Error",IF(C5=0,"",D5/C5*E5)))</f>
        <v>25</v>
      </c>
      <c r="G5" s="182"/>
      <c r="H5" s="23" t="str">
        <f t="shared" ref="H5:H22" si="0">IF(OR(D5="",E5="",F5=""),"",IF(AND(ISNUMBER(D5),ISNUMBER(F5)),IF(F5&gt;0.9*D5,"Congratulations, you have achieved the target!",IF(F5&lt;0.1*D5,"There is scope for improvement","Good, achievable target is not far away")),""))</f>
        <v>Congratulations, you have achieved the target!</v>
      </c>
      <c r="I5" s="26"/>
      <c r="J5" s="173"/>
      <c r="K5" s="173"/>
      <c r="L5" s="173"/>
      <c r="M5" s="173"/>
      <c r="N5" s="173"/>
      <c r="O5" s="173"/>
      <c r="P5" s="173"/>
      <c r="Q5" s="173"/>
      <c r="R5" s="173"/>
      <c r="S5" s="173"/>
      <c r="XFA5" s="12">
        <v>4</v>
      </c>
      <c r="XFB5" s="12">
        <v>4</v>
      </c>
      <c r="XFC5" s="17" t="s">
        <v>209</v>
      </c>
      <c r="XFD5" s="18">
        <v>11</v>
      </c>
    </row>
    <row r="6" spans="1:20 16381:16384" ht="30" customHeight="1">
      <c r="A6" s="177"/>
      <c r="B6" s="29" t="s">
        <v>210</v>
      </c>
      <c r="C6" s="30">
        <v>6</v>
      </c>
      <c r="D6" s="20">
        <v>33</v>
      </c>
      <c r="E6" s="21">
        <v>6</v>
      </c>
      <c r="F6" s="22">
        <f>IF(C6="","",IF(D6="","",IF(E6="","",(D6/C6)*E6)))</f>
        <v>33</v>
      </c>
      <c r="G6" s="182"/>
      <c r="H6" s="23" t="str">
        <f t="shared" si="0"/>
        <v>Congratulations, you have achieved the target!</v>
      </c>
      <c r="I6" s="26"/>
      <c r="J6" s="173"/>
      <c r="K6" s="173"/>
      <c r="L6" s="173"/>
      <c r="M6" s="173"/>
      <c r="N6" s="173"/>
      <c r="O6" s="173"/>
      <c r="P6" s="173"/>
      <c r="Q6" s="173"/>
      <c r="R6" s="173"/>
      <c r="S6" s="173"/>
      <c r="XFA6" s="12">
        <v>5</v>
      </c>
      <c r="XFB6" s="12">
        <v>5</v>
      </c>
      <c r="XFC6" s="17" t="s">
        <v>211</v>
      </c>
      <c r="XFD6" s="18">
        <v>6</v>
      </c>
    </row>
    <row r="7" spans="1:20 16381:16384" ht="30" customHeight="1">
      <c r="A7" s="177"/>
      <c r="B7" s="31" t="s">
        <v>212</v>
      </c>
      <c r="C7" s="32">
        <v>5</v>
      </c>
      <c r="D7" s="20">
        <v>50</v>
      </c>
      <c r="E7" s="28">
        <v>50</v>
      </c>
      <c r="F7" s="33">
        <f>IF(E7="","",MIN(E7,D7))</f>
        <v>50</v>
      </c>
      <c r="G7" s="182"/>
      <c r="H7" s="23" t="str">
        <f t="shared" si="0"/>
        <v>Congratulations, you have achieved the target!</v>
      </c>
      <c r="I7" s="26"/>
      <c r="J7" s="173"/>
      <c r="K7" s="173"/>
      <c r="L7" s="173"/>
      <c r="M7" s="173"/>
      <c r="N7" s="173"/>
      <c r="O7" s="173"/>
      <c r="P7" s="173"/>
      <c r="Q7" s="173"/>
      <c r="R7" s="173"/>
      <c r="S7" s="173"/>
      <c r="XFA7" s="12">
        <v>6</v>
      </c>
      <c r="XFB7" s="12">
        <v>6</v>
      </c>
      <c r="XFC7" s="17" t="s">
        <v>213</v>
      </c>
      <c r="XFD7" s="18">
        <v>10</v>
      </c>
    </row>
    <row r="8" spans="1:20 16381:16384" ht="30" customHeight="1">
      <c r="A8" s="177"/>
      <c r="B8" s="31" t="s">
        <v>214</v>
      </c>
      <c r="C8" s="32">
        <v>5</v>
      </c>
      <c r="D8" s="20">
        <v>50</v>
      </c>
      <c r="E8" s="28">
        <v>50</v>
      </c>
      <c r="F8" s="33">
        <f>IF(E8="","",MIN(E8,D8))</f>
        <v>50</v>
      </c>
      <c r="G8" s="182"/>
      <c r="H8" s="23" t="str">
        <f t="shared" si="0"/>
        <v>Congratulations, you have achieved the target!</v>
      </c>
      <c r="I8" s="26"/>
      <c r="J8" s="173"/>
      <c r="K8" s="173"/>
      <c r="L8" s="173"/>
      <c r="M8" s="173"/>
      <c r="N8" s="173"/>
      <c r="O8" s="173"/>
      <c r="P8" s="173"/>
      <c r="Q8" s="173"/>
      <c r="R8" s="173"/>
      <c r="S8" s="173"/>
      <c r="XFA8" s="12">
        <v>7</v>
      </c>
      <c r="XFB8" s="12">
        <v>7</v>
      </c>
      <c r="XFC8" s="17" t="s">
        <v>207</v>
      </c>
      <c r="XFD8" s="34">
        <v>13</v>
      </c>
    </row>
    <row r="9" spans="1:20 16381:16384" ht="30" customHeight="1">
      <c r="A9" s="177"/>
      <c r="B9" s="31" t="s">
        <v>215</v>
      </c>
      <c r="C9" s="32">
        <v>5</v>
      </c>
      <c r="D9" s="20">
        <v>50</v>
      </c>
      <c r="E9" s="28">
        <v>45</v>
      </c>
      <c r="F9" s="33">
        <f>IF(E9="","",MIN(E9,D9))</f>
        <v>45</v>
      </c>
      <c r="G9" s="182"/>
      <c r="H9" s="23" t="str">
        <f t="shared" si="0"/>
        <v>Good, achievable target is not far away</v>
      </c>
      <c r="I9" s="26"/>
      <c r="J9" s="173"/>
      <c r="K9" s="173"/>
      <c r="L9" s="173"/>
      <c r="M9" s="173"/>
      <c r="N9" s="173"/>
      <c r="O9" s="173"/>
      <c r="P9" s="173"/>
      <c r="Q9" s="173"/>
      <c r="R9" s="173"/>
      <c r="S9" s="173"/>
      <c r="XFA9" s="12">
        <v>8</v>
      </c>
      <c r="XFB9" s="12">
        <v>8</v>
      </c>
      <c r="XFC9" s="17" t="s">
        <v>216</v>
      </c>
      <c r="XFD9" s="18">
        <v>8</v>
      </c>
    </row>
    <row r="10" spans="1:20 16381:16384" ht="15.75" customHeight="1">
      <c r="A10" s="177"/>
      <c r="B10" s="181" t="s">
        <v>217</v>
      </c>
      <c r="C10" s="181"/>
      <c r="D10" s="181"/>
      <c r="E10" s="181"/>
      <c r="F10" s="181"/>
      <c r="G10" s="181"/>
      <c r="H10" s="35"/>
      <c r="I10" s="26"/>
      <c r="J10" s="173"/>
      <c r="K10" s="173"/>
      <c r="L10" s="173"/>
      <c r="M10" s="173"/>
      <c r="N10" s="173"/>
      <c r="O10" s="173"/>
      <c r="P10" s="173"/>
      <c r="Q10" s="173"/>
      <c r="R10" s="173"/>
      <c r="S10" s="173"/>
      <c r="XFA10" s="12">
        <v>9</v>
      </c>
      <c r="XFB10" s="12">
        <v>9</v>
      </c>
      <c r="XFC10" s="17" t="s">
        <v>218</v>
      </c>
      <c r="XFD10" s="18">
        <v>8</v>
      </c>
    </row>
    <row r="11" spans="1:20 16381:16384" ht="30" customHeight="1">
      <c r="A11" s="177"/>
      <c r="B11" s="6" t="s">
        <v>205</v>
      </c>
      <c r="C11" s="19">
        <v>6</v>
      </c>
      <c r="D11" s="20">
        <v>75</v>
      </c>
      <c r="E11" s="21">
        <v>6</v>
      </c>
      <c r="F11" s="22">
        <f>IF(C11="","",IF(D11="","",IF(E11="","",(D11/C11)*E11)))</f>
        <v>75</v>
      </c>
      <c r="G11" s="183">
        <f>IF(COUNT(F11:F13)=0,"",MIN(SUM(F11:F13),333))</f>
        <v>283</v>
      </c>
      <c r="H11" s="23" t="str">
        <f t="shared" si="0"/>
        <v>Congratulations, you have achieved the target!</v>
      </c>
      <c r="I11" s="26"/>
      <c r="J11" s="173"/>
      <c r="K11" s="173"/>
      <c r="L11" s="173"/>
      <c r="M11" s="173"/>
      <c r="N11" s="173"/>
      <c r="O11" s="173"/>
      <c r="P11" s="173"/>
      <c r="Q11" s="173"/>
      <c r="R11" s="173"/>
      <c r="S11" s="173"/>
      <c r="XFA11" s="12">
        <v>10</v>
      </c>
      <c r="XFB11" s="12">
        <v>10</v>
      </c>
      <c r="XFC11" s="17" t="s">
        <v>219</v>
      </c>
      <c r="XFD11" s="18">
        <v>9</v>
      </c>
    </row>
    <row r="12" spans="1:20 16381:16384" ht="30" customHeight="1">
      <c r="A12" s="177"/>
      <c r="B12" s="175" t="s">
        <v>212</v>
      </c>
      <c r="C12" s="175"/>
      <c r="D12" s="20">
        <v>104</v>
      </c>
      <c r="E12" s="28">
        <v>104</v>
      </c>
      <c r="F12" s="33">
        <f t="shared" ref="F12:F19" si="1">IF(E12="","",MIN(E12,D12))</f>
        <v>104</v>
      </c>
      <c r="G12" s="183"/>
      <c r="H12" s="23" t="str">
        <f t="shared" si="0"/>
        <v>Congratulations, you have achieved the target!</v>
      </c>
      <c r="I12" s="26"/>
      <c r="J12" s="173"/>
      <c r="K12" s="173"/>
      <c r="L12" s="173"/>
      <c r="M12" s="173"/>
      <c r="N12" s="173"/>
      <c r="O12" s="173"/>
      <c r="P12" s="173"/>
      <c r="Q12" s="173"/>
      <c r="R12" s="173"/>
      <c r="S12" s="173"/>
      <c r="XFA12" s="12">
        <v>11</v>
      </c>
      <c r="XFB12" s="12">
        <v>11</v>
      </c>
      <c r="XFC12" s="17" t="s">
        <v>220</v>
      </c>
      <c r="XFD12" s="18">
        <v>5</v>
      </c>
    </row>
    <row r="13" spans="1:20 16381:16384" ht="30" customHeight="1">
      <c r="A13" s="177"/>
      <c r="B13" s="175" t="s">
        <v>214</v>
      </c>
      <c r="C13" s="175"/>
      <c r="D13" s="20">
        <v>104</v>
      </c>
      <c r="E13" s="28">
        <v>104</v>
      </c>
      <c r="F13" s="33">
        <f t="shared" si="1"/>
        <v>104</v>
      </c>
      <c r="G13" s="183"/>
      <c r="H13" s="23" t="str">
        <f t="shared" si="0"/>
        <v>Congratulations, you have achieved the target!</v>
      </c>
      <c r="I13" s="26"/>
      <c r="J13" s="173"/>
      <c r="K13" s="173"/>
      <c r="L13" s="173"/>
      <c r="M13" s="173"/>
      <c r="N13" s="173"/>
      <c r="O13" s="173"/>
      <c r="P13" s="173"/>
      <c r="Q13" s="173"/>
      <c r="R13" s="173"/>
      <c r="S13" s="173"/>
      <c r="XFA13" s="12">
        <v>12</v>
      </c>
      <c r="XFC13" t="s">
        <v>221</v>
      </c>
    </row>
    <row r="14" spans="1:20 16381:16384" ht="30" customHeight="1">
      <c r="A14" s="177" t="s">
        <v>222</v>
      </c>
      <c r="B14" s="174" t="s">
        <v>223</v>
      </c>
      <c r="C14" s="174"/>
      <c r="D14" s="19">
        <v>223</v>
      </c>
      <c r="E14" s="25"/>
      <c r="F14" s="33" t="str">
        <f t="shared" si="1"/>
        <v/>
      </c>
      <c r="G14" s="170" t="str">
        <f>IF((F14&amp;F15)="","",MIN(SUM(F14,F15),333))</f>
        <v/>
      </c>
      <c r="H14" s="23" t="str">
        <f t="shared" si="0"/>
        <v/>
      </c>
      <c r="I14" s="26"/>
      <c r="J14" s="173"/>
      <c r="K14" s="173"/>
      <c r="L14" s="173"/>
      <c r="M14" s="173"/>
      <c r="N14" s="173"/>
      <c r="O14" s="173"/>
      <c r="P14" s="173"/>
      <c r="Q14" s="173"/>
      <c r="R14" s="173"/>
      <c r="S14" s="173"/>
      <c r="T14" s="12" t="str">
        <f>IF((F14&amp;F15)="","",MIN(SUM(F14,F15),333))</f>
        <v/>
      </c>
      <c r="XFA14" s="12">
        <v>13</v>
      </c>
    </row>
    <row r="15" spans="1:20 16381:16384" ht="30" customHeight="1">
      <c r="A15" s="177"/>
      <c r="B15" s="175" t="s">
        <v>224</v>
      </c>
      <c r="C15" s="175"/>
      <c r="D15" s="19">
        <v>110</v>
      </c>
      <c r="E15" s="28"/>
      <c r="F15" s="33" t="str">
        <f t="shared" si="1"/>
        <v/>
      </c>
      <c r="G15" s="171"/>
      <c r="H15" s="23" t="str">
        <f t="shared" si="0"/>
        <v/>
      </c>
      <c r="I15" s="26"/>
      <c r="J15" s="173"/>
      <c r="K15" s="173"/>
      <c r="L15" s="173"/>
      <c r="M15" s="173"/>
      <c r="N15" s="173"/>
      <c r="O15" s="173"/>
      <c r="P15" s="173"/>
      <c r="Q15" s="173"/>
      <c r="R15" s="173"/>
      <c r="S15" s="173"/>
      <c r="XFA15" s="12">
        <v>14</v>
      </c>
    </row>
    <row r="16" spans="1:20 16381:16384" ht="30" customHeight="1">
      <c r="A16" s="177" t="s">
        <v>225</v>
      </c>
      <c r="B16" s="174" t="s">
        <v>226</v>
      </c>
      <c r="C16" s="174"/>
      <c r="D16" s="19">
        <v>203</v>
      </c>
      <c r="E16" s="25"/>
      <c r="F16" s="33" t="str">
        <f t="shared" si="1"/>
        <v/>
      </c>
      <c r="G16" s="170" t="str">
        <f>IF((F16&amp;F17)="","",MIN(SUM(F16,F17),333))</f>
        <v/>
      </c>
      <c r="H16" s="23" t="str">
        <f t="shared" si="0"/>
        <v/>
      </c>
      <c r="I16" s="26"/>
      <c r="J16" s="173"/>
      <c r="K16" s="173"/>
      <c r="L16" s="173"/>
      <c r="M16" s="173"/>
      <c r="N16" s="173"/>
      <c r="O16" s="173"/>
      <c r="P16" s="173"/>
      <c r="Q16" s="173"/>
      <c r="R16" s="173"/>
      <c r="S16" s="173"/>
      <c r="XFA16" s="12">
        <v>15</v>
      </c>
      <c r="XFB16" s="12">
        <v>1</v>
      </c>
      <c r="XFC16" s="17" t="s">
        <v>227</v>
      </c>
      <c r="XFD16" s="18">
        <v>12</v>
      </c>
    </row>
    <row r="17" spans="1:19 16382:16384" ht="30" customHeight="1">
      <c r="A17" s="177"/>
      <c r="B17" s="175" t="s">
        <v>224</v>
      </c>
      <c r="C17" s="175"/>
      <c r="D17" s="19">
        <v>130</v>
      </c>
      <c r="E17" s="28"/>
      <c r="F17" s="33" t="str">
        <f t="shared" si="1"/>
        <v/>
      </c>
      <c r="G17" s="171"/>
      <c r="H17" s="23" t="str">
        <f t="shared" si="0"/>
        <v/>
      </c>
      <c r="I17" s="26"/>
      <c r="J17" s="173"/>
      <c r="K17" s="173"/>
      <c r="L17" s="173"/>
      <c r="M17" s="173"/>
      <c r="N17" s="173"/>
      <c r="O17" s="173"/>
      <c r="P17" s="173"/>
      <c r="Q17" s="173"/>
      <c r="R17" s="173"/>
      <c r="S17" s="173"/>
      <c r="XFB17" s="12">
        <v>2</v>
      </c>
      <c r="XFC17" s="17" t="s">
        <v>228</v>
      </c>
      <c r="XFD17" s="18">
        <v>5</v>
      </c>
    </row>
    <row r="18" spans="1:19 16382:16384" ht="30" customHeight="1">
      <c r="A18" s="177" t="s">
        <v>229</v>
      </c>
      <c r="B18" s="174" t="s">
        <v>230</v>
      </c>
      <c r="C18" s="174"/>
      <c r="D18" s="19">
        <v>173</v>
      </c>
      <c r="E18" s="25"/>
      <c r="F18" s="33" t="str">
        <f t="shared" si="1"/>
        <v/>
      </c>
      <c r="G18" s="170" t="str">
        <f>IF((F18&amp;F19)="","",MIN(SUM(F18,F19),333))</f>
        <v/>
      </c>
      <c r="H18" s="23" t="str">
        <f t="shared" si="0"/>
        <v/>
      </c>
      <c r="I18" s="26"/>
      <c r="J18" s="173"/>
      <c r="K18" s="173"/>
      <c r="L18" s="173"/>
      <c r="M18" s="173"/>
      <c r="N18" s="173"/>
      <c r="O18" s="173"/>
      <c r="P18" s="173"/>
      <c r="Q18" s="173"/>
      <c r="R18" s="173"/>
      <c r="S18" s="173"/>
      <c r="XFB18" s="12">
        <v>3</v>
      </c>
      <c r="XFC18" s="17" t="s">
        <v>231</v>
      </c>
      <c r="XFD18" s="18">
        <v>10</v>
      </c>
    </row>
    <row r="19" spans="1:19 16382:16384" ht="30" customHeight="1">
      <c r="A19" s="177"/>
      <c r="B19" s="175" t="s">
        <v>224</v>
      </c>
      <c r="C19" s="175"/>
      <c r="D19" s="18">
        <v>160</v>
      </c>
      <c r="E19" s="28"/>
      <c r="F19" s="33" t="str">
        <f t="shared" si="1"/>
        <v/>
      </c>
      <c r="G19" s="171"/>
      <c r="H19" s="23" t="str">
        <f t="shared" si="0"/>
        <v/>
      </c>
      <c r="I19" s="26"/>
      <c r="J19" s="173"/>
      <c r="K19" s="173"/>
      <c r="L19" s="173"/>
      <c r="M19" s="173"/>
      <c r="N19" s="173"/>
      <c r="O19" s="173"/>
      <c r="P19" s="173"/>
      <c r="Q19" s="173"/>
      <c r="R19" s="173"/>
      <c r="S19" s="173"/>
      <c r="XFB19" s="12">
        <v>4</v>
      </c>
      <c r="XFC19" s="17" t="s">
        <v>232</v>
      </c>
      <c r="XFD19" s="18">
        <v>8</v>
      </c>
    </row>
    <row r="20" spans="1:19 16382:16384" ht="30" customHeight="1">
      <c r="A20" s="178" t="s">
        <v>233</v>
      </c>
      <c r="B20" s="37" t="s">
        <v>234</v>
      </c>
      <c r="C20" s="18">
        <v>24</v>
      </c>
      <c r="D20" s="38">
        <v>153</v>
      </c>
      <c r="E20" s="25"/>
      <c r="F20" s="22" t="str">
        <f>IF(E20="","",IF(E20=0,0,IF(E20=100,D20,IF(E20=75,0.75*D20,IF(E20=50,0.5*D20,IF(E20=25,0.25*D20,0))))))</f>
        <v/>
      </c>
      <c r="G20" s="172" t="str">
        <f>IF((F20&amp;F21&amp;F22)="","",MIN(MAX(N(F20)+N(F22),N(F21)+N(F22)),333))</f>
        <v/>
      </c>
      <c r="H20" s="23" t="str">
        <f t="shared" si="0"/>
        <v/>
      </c>
      <c r="I20" s="26"/>
      <c r="J20" s="173"/>
      <c r="K20" s="173"/>
      <c r="L20" s="173"/>
      <c r="M20" s="173"/>
      <c r="N20" s="173"/>
      <c r="O20" s="173"/>
      <c r="P20" s="173"/>
      <c r="Q20" s="173"/>
      <c r="R20" s="173"/>
      <c r="S20" s="173"/>
      <c r="XFB20" s="12">
        <v>5</v>
      </c>
      <c r="XFC20" s="17" t="s">
        <v>235</v>
      </c>
      <c r="XFD20" s="18">
        <v>4</v>
      </c>
    </row>
    <row r="21" spans="1:19 16382:16384" ht="30" customHeight="1">
      <c r="A21" s="178"/>
      <c r="B21" s="39" t="s">
        <v>236</v>
      </c>
      <c r="C21" s="19">
        <f>IFERROR(INDEX($XFD$54:$XFD$59,MATCH($B$21,$XFC$54:$XFC$59,0)),0)</f>
        <v>8</v>
      </c>
      <c r="D21" s="19">
        <v>153</v>
      </c>
      <c r="E21" s="25"/>
      <c r="F21" s="22" t="str">
        <f>IF(OR(C21="",D21="",E21=""),"",IF(E21&gt;C21,"Error",IF(C21=0,"",D21/C21*E21)))</f>
        <v/>
      </c>
      <c r="G21" s="172"/>
      <c r="H21" s="23" t="str">
        <f t="shared" si="0"/>
        <v/>
      </c>
      <c r="I21" s="26"/>
      <c r="J21" s="173"/>
      <c r="K21" s="173"/>
      <c r="L21" s="173"/>
      <c r="M21" s="173"/>
      <c r="N21" s="173"/>
      <c r="O21" s="173"/>
      <c r="P21" s="173"/>
      <c r="Q21" s="173"/>
      <c r="R21" s="173"/>
      <c r="S21" s="173"/>
      <c r="XFB21" s="12">
        <v>6</v>
      </c>
      <c r="XFC21" s="17" t="s">
        <v>237</v>
      </c>
      <c r="XFD21" s="18">
        <v>8</v>
      </c>
    </row>
    <row r="22" spans="1:19 16382:16384" ht="30" customHeight="1">
      <c r="A22" s="178"/>
      <c r="B22" s="175" t="s">
        <v>85</v>
      </c>
      <c r="C22" s="175"/>
      <c r="D22" s="18">
        <v>180</v>
      </c>
      <c r="E22" s="28"/>
      <c r="F22" s="33" t="str">
        <f t="shared" ref="F22" si="2">IF(E22="","",MIN(E22,D22))</f>
        <v/>
      </c>
      <c r="G22" s="172"/>
      <c r="H22" s="23" t="str">
        <f t="shared" si="0"/>
        <v/>
      </c>
      <c r="I22" s="26"/>
      <c r="J22" s="173"/>
      <c r="K22" s="173"/>
      <c r="L22" s="173"/>
      <c r="M22" s="173"/>
      <c r="N22" s="173"/>
      <c r="O22" s="173"/>
      <c r="P22" s="173"/>
      <c r="Q22" s="173"/>
      <c r="R22" s="173"/>
      <c r="S22" s="173"/>
      <c r="XFB22" s="12">
        <v>7</v>
      </c>
      <c r="XFC22" s="17" t="s">
        <v>238</v>
      </c>
      <c r="XFD22" s="34">
        <v>13</v>
      </c>
    </row>
    <row r="23" spans="1:19 16382:16384" ht="43.5" customHeight="1">
      <c r="A23" s="176"/>
      <c r="B23" s="176"/>
      <c r="C23" s="176"/>
      <c r="D23" s="176"/>
      <c r="E23" s="176"/>
      <c r="F23" s="176"/>
      <c r="G23" s="40">
        <f>IF(COUNT(G3,G11,G14,G16,G18,G20)=0,"",MAX(G3,G11,G14,G16,G18,G20))</f>
        <v>328</v>
      </c>
      <c r="H23" s="35"/>
      <c r="I23" s="26"/>
      <c r="J23" s="173"/>
      <c r="K23" s="173"/>
      <c r="L23" s="173"/>
      <c r="M23" s="173"/>
      <c r="N23" s="173"/>
      <c r="O23" s="173"/>
      <c r="P23" s="173"/>
      <c r="Q23" s="173"/>
      <c r="R23" s="173"/>
      <c r="S23" s="173"/>
      <c r="XFB23" s="12">
        <v>8</v>
      </c>
      <c r="XFC23" s="17" t="s">
        <v>239</v>
      </c>
      <c r="XFD23" s="18">
        <v>8</v>
      </c>
    </row>
    <row r="24" spans="1:19 16382:16384">
      <c r="I24" s="26"/>
      <c r="J24" s="173"/>
      <c r="K24" s="173"/>
      <c r="L24" s="173"/>
      <c r="M24" s="173"/>
      <c r="N24" s="173"/>
      <c r="O24" s="173"/>
      <c r="P24" s="173"/>
      <c r="Q24" s="173"/>
      <c r="R24" s="173"/>
      <c r="S24" s="173"/>
      <c r="XFB24" s="12">
        <v>9</v>
      </c>
      <c r="XFC24" s="17" t="s">
        <v>240</v>
      </c>
      <c r="XFD24" s="18">
        <v>8</v>
      </c>
    </row>
    <row r="25" spans="1:19 16382:16384">
      <c r="A25" s="41"/>
      <c r="B25" s="42"/>
      <c r="C25" s="43"/>
      <c r="D25" s="44"/>
      <c r="E25" s="45"/>
      <c r="F25" s="46"/>
      <c r="G25" s="47"/>
      <c r="XFB25" s="12">
        <v>10</v>
      </c>
      <c r="XFC25" s="17" t="s">
        <v>241</v>
      </c>
      <c r="XFD25" s="18">
        <v>9</v>
      </c>
    </row>
    <row r="26" spans="1:19 16382:16384">
      <c r="A26" s="41"/>
      <c r="B26" s="42"/>
      <c r="C26" s="43"/>
      <c r="D26" s="44"/>
      <c r="E26" s="45"/>
      <c r="F26" s="46"/>
      <c r="G26" s="47"/>
      <c r="XFB26" s="12">
        <v>11</v>
      </c>
      <c r="XFC26" s="17" t="s">
        <v>242</v>
      </c>
      <c r="XFD26" s="18">
        <v>5</v>
      </c>
    </row>
    <row r="27" spans="1:19 16382:16384">
      <c r="A27" s="41"/>
      <c r="B27" s="42"/>
      <c r="C27" s="43"/>
      <c r="D27" s="44"/>
      <c r="E27" s="45"/>
      <c r="F27" s="46"/>
      <c r="G27" s="47"/>
    </row>
    <row r="28" spans="1:19 16382:16384">
      <c r="A28" s="41"/>
      <c r="B28" s="42"/>
      <c r="C28" s="43"/>
      <c r="D28" s="44"/>
      <c r="E28" s="45"/>
      <c r="F28" s="46"/>
      <c r="G28" s="47"/>
      <c r="XFB28" s="36" t="s">
        <v>243</v>
      </c>
    </row>
    <row r="29" spans="1:19 16382:16384">
      <c r="A29" s="41"/>
      <c r="G29" s="47"/>
      <c r="XFB29" s="36" t="s">
        <v>244</v>
      </c>
    </row>
    <row r="30" spans="1:19 16382:16384">
      <c r="A30" s="41"/>
      <c r="G30" s="47"/>
      <c r="XFB30" s="36" t="s">
        <v>245</v>
      </c>
    </row>
    <row r="31" spans="1:19 16382:16384">
      <c r="A31" s="41"/>
      <c r="G31" s="47"/>
      <c r="XFB31" s="36" t="s">
        <v>246</v>
      </c>
    </row>
    <row r="32" spans="1:19 16382:16384">
      <c r="A32" s="41"/>
      <c r="G32" s="47"/>
      <c r="XFB32" s="36" t="s">
        <v>247</v>
      </c>
    </row>
    <row r="33" spans="1:7 16382:16382">
      <c r="A33" s="41"/>
      <c r="G33" s="47"/>
      <c r="XFB33" s="36" t="s">
        <v>248</v>
      </c>
    </row>
    <row r="34" spans="1:7 16382:16382">
      <c r="A34" s="41"/>
      <c r="G34" s="47"/>
      <c r="XFB34" s="36" t="s">
        <v>210</v>
      </c>
    </row>
    <row r="35" spans="1:7 16382:16382">
      <c r="A35" s="41"/>
      <c r="G35" s="47"/>
      <c r="XFB35" s="36" t="s">
        <v>249</v>
      </c>
    </row>
    <row r="36" spans="1:7 16382:16382">
      <c r="A36" s="41"/>
      <c r="G36" s="47"/>
      <c r="XFB36" s="36" t="s">
        <v>250</v>
      </c>
    </row>
    <row r="37" spans="1:7 16382:16382">
      <c r="A37" s="41"/>
      <c r="G37" s="47"/>
      <c r="XFB37" s="36" t="s">
        <v>251</v>
      </c>
    </row>
    <row r="38" spans="1:7 16382:16382">
      <c r="A38" s="41"/>
      <c r="G38" s="47"/>
      <c r="XFB38" s="36" t="s">
        <v>252</v>
      </c>
    </row>
    <row r="39" spans="1:7 16382:16382">
      <c r="A39" s="41"/>
      <c r="G39" s="47"/>
      <c r="XFB39" s="36" t="s">
        <v>253</v>
      </c>
    </row>
    <row r="40" spans="1:7 16382:16382">
      <c r="A40" s="41"/>
      <c r="G40" s="47"/>
      <c r="XFB40" s="36" t="s">
        <v>254</v>
      </c>
    </row>
    <row r="41" spans="1:7 16382:16382">
      <c r="A41" s="41"/>
      <c r="G41" s="47"/>
      <c r="XFB41" s="36" t="s">
        <v>255</v>
      </c>
    </row>
    <row r="42" spans="1:7 16382:16382">
      <c r="A42" s="41"/>
      <c r="G42" s="47"/>
      <c r="XFB42" s="36" t="s">
        <v>256</v>
      </c>
    </row>
    <row r="43" spans="1:7 16382:16382">
      <c r="A43" s="41"/>
      <c r="G43" s="47"/>
      <c r="XFB43" s="36" t="s">
        <v>257</v>
      </c>
    </row>
    <row r="44" spans="1:7 16382:16382">
      <c r="A44" s="41"/>
      <c r="G44" s="47"/>
      <c r="XFB44" s="36" t="s">
        <v>258</v>
      </c>
    </row>
    <row r="45" spans="1:7 16382:16382">
      <c r="XFB45" s="36" t="s">
        <v>259</v>
      </c>
    </row>
    <row r="46" spans="1:7 16382:16382">
      <c r="XFB46" s="36" t="s">
        <v>260</v>
      </c>
    </row>
    <row r="47" spans="1:7 16382:16382" ht="15.75" customHeight="1">
      <c r="XFB47" s="36" t="s">
        <v>261</v>
      </c>
    </row>
    <row r="48" spans="1:7 16382:16382">
      <c r="XFB48" s="36" t="s">
        <v>262</v>
      </c>
    </row>
    <row r="49" spans="16382:16384">
      <c r="XFB49" s="36" t="s">
        <v>263</v>
      </c>
    </row>
    <row r="50" spans="16382:16384">
      <c r="XFB50" s="36" t="s">
        <v>264</v>
      </c>
    </row>
    <row r="51" spans="16382:16384">
      <c r="XFB51" s="36" t="s">
        <v>265</v>
      </c>
    </row>
    <row r="52" spans="16382:16384">
      <c r="XFB52" s="36" t="s">
        <v>266</v>
      </c>
    </row>
    <row r="53" spans="16382:16384">
      <c r="XFB53" s="36" t="s">
        <v>267</v>
      </c>
    </row>
    <row r="54" spans="16382:16384">
      <c r="XFC54" s="6" t="s">
        <v>268</v>
      </c>
      <c r="XFD54" s="12">
        <v>15</v>
      </c>
    </row>
    <row r="55" spans="16382:16384">
      <c r="XFC55" s="6" t="s">
        <v>269</v>
      </c>
      <c r="XFD55" s="12">
        <v>15</v>
      </c>
    </row>
    <row r="56" spans="16382:16384">
      <c r="XFC56" s="6" t="s">
        <v>270</v>
      </c>
      <c r="XFD56" s="12">
        <v>13</v>
      </c>
    </row>
    <row r="57" spans="16382:16384">
      <c r="XFC57" s="6" t="s">
        <v>236</v>
      </c>
      <c r="XFD57" s="12">
        <v>8</v>
      </c>
    </row>
    <row r="58" spans="16382:16384">
      <c r="XFC58" s="6" t="s">
        <v>271</v>
      </c>
      <c r="XFD58" s="12">
        <v>11</v>
      </c>
    </row>
    <row r="59" spans="16382:16384">
      <c r="XFC59" s="6" t="s">
        <v>272</v>
      </c>
      <c r="XFD59" s="12">
        <v>15</v>
      </c>
    </row>
  </sheetData>
  <sheetProtection password="BCCA" sheet="1" objects="1" scenarios="1"/>
  <mergeCells count="26">
    <mergeCell ref="A1:H1"/>
    <mergeCell ref="A2:B2"/>
    <mergeCell ref="J2:S2"/>
    <mergeCell ref="B10:G10"/>
    <mergeCell ref="B12:C12"/>
    <mergeCell ref="G3:G9"/>
    <mergeCell ref="G11:G13"/>
    <mergeCell ref="B18:C18"/>
    <mergeCell ref="B19:C19"/>
    <mergeCell ref="B22:C22"/>
    <mergeCell ref="A23:F23"/>
    <mergeCell ref="A3:A13"/>
    <mergeCell ref="A14:A15"/>
    <mergeCell ref="A16:A17"/>
    <mergeCell ref="A18:A19"/>
    <mergeCell ref="A20:A22"/>
    <mergeCell ref="B13:C13"/>
    <mergeCell ref="B14:C14"/>
    <mergeCell ref="B15:C15"/>
    <mergeCell ref="B16:C16"/>
    <mergeCell ref="B17:C17"/>
    <mergeCell ref="G14:G15"/>
    <mergeCell ref="G16:G17"/>
    <mergeCell ref="G18:G19"/>
    <mergeCell ref="G20:G22"/>
    <mergeCell ref="J3:S24"/>
  </mergeCells>
  <conditionalFormatting sqref="H3">
    <cfRule type="expression" dxfId="11" priority="7">
      <formula>ISNUMBER(SEARCH("There is scope for improvement",H3))</formula>
    </cfRule>
    <cfRule type="expression" dxfId="10" priority="8">
      <formula>ISNUMBER(SEARCH("Good, achievable target is not far away",H3))</formula>
    </cfRule>
    <cfRule type="expression" dxfId="9" priority="9">
      <formula>ISNUMBER(SEARCH("Congratulations, you have achieved the target!",H3))</formula>
    </cfRule>
  </conditionalFormatting>
  <conditionalFormatting sqref="H4">
    <cfRule type="expression" dxfId="8" priority="10">
      <formula>ISNUMBER(SEARCH("There is scope for improvement",H4))</formula>
    </cfRule>
    <cfRule type="expression" dxfId="7" priority="11">
      <formula>ISNUMBER(SEARCH("Good, achievable target is not far away",H4))</formula>
    </cfRule>
    <cfRule type="expression" dxfId="6" priority="12">
      <formula>ISNUMBER(SEARCH("Congratulations, you have achieved the target!",H4))</formula>
    </cfRule>
  </conditionalFormatting>
  <conditionalFormatting sqref="H5:H9">
    <cfRule type="expression" dxfId="5" priority="4">
      <formula>ISNUMBER(SEARCH("There is scope for improvement",H5))</formula>
    </cfRule>
    <cfRule type="expression" dxfId="4" priority="5">
      <formula>ISNUMBER(SEARCH("Good, achievable target is not far away",H5))</formula>
    </cfRule>
    <cfRule type="expression" dxfId="3" priority="6">
      <formula>ISNUMBER(SEARCH("Congratulations, you have achieved the target!",H5))</formula>
    </cfRule>
  </conditionalFormatting>
  <conditionalFormatting sqref="H11:H22">
    <cfRule type="expression" dxfId="2" priority="1">
      <formula>ISNUMBER(SEARCH("There is scope for improvement",H11))</formula>
    </cfRule>
    <cfRule type="expression" dxfId="1" priority="2">
      <formula>ISNUMBER(SEARCH("Good, achievable target is not far away",H11))</formula>
    </cfRule>
    <cfRule type="expression" dxfId="0" priority="3">
      <formula>ISNUMBER(SEARCH("Congratulations, you have achieved the target!",H11))</formula>
    </cfRule>
  </conditionalFormatting>
  <dataValidations count="8">
    <dataValidation type="list" allowBlank="1" showInputMessage="1" showErrorMessage="1" sqref="E3 E6 E11" xr:uid="{00000000-0002-0000-0300-000000000000}">
      <formula1>"0,1,2,3,4,5,6"</formula1>
    </dataValidation>
    <dataValidation type="list" allowBlank="1" showInputMessage="1" showErrorMessage="1" sqref="B4" xr:uid="{00000000-0002-0000-0300-000001000000}">
      <formula1>$XFC$2:$XFC$13</formula1>
    </dataValidation>
    <dataValidation type="list" allowBlank="1" showInputMessage="1" showErrorMessage="1" sqref="B6" xr:uid="{00000000-0002-0000-0300-000002000000}">
      <formula1>$XFB$28:$XFB$53</formula1>
    </dataValidation>
    <dataValidation type="list" allowBlank="1" showInputMessage="1" showErrorMessage="1" sqref="E20" xr:uid="{00000000-0002-0000-0300-000003000000}">
      <formula1>"0,25,50,75,100"</formula1>
    </dataValidation>
    <dataValidation type="list" allowBlank="1" showInputMessage="1" showErrorMessage="1" sqref="B21" xr:uid="{00000000-0002-0000-0300-000004000000}">
      <formula1>$XFC$54:$XFC$59</formula1>
    </dataValidation>
    <dataValidation type="list" allowBlank="1" showInputMessage="1" showErrorMessage="1" sqref="E21" xr:uid="{00000000-0002-0000-0300-000005000000}">
      <formula1>OFFSET($XFA$1,0,0,$C$21+1,1)</formula1>
    </dataValidation>
    <dataValidation type="list" allowBlank="1" showInputMessage="1" showErrorMessage="1" sqref="E4:E5" xr:uid="{00000000-0002-0000-0300-000006000000}">
      <formula1>OFFSET($XFA$1,0,0,$C$4+1,1)</formula1>
    </dataValidation>
    <dataValidation type="list" allowBlank="1" showInputMessage="1" showErrorMessage="1" sqref="E25:E28" xr:uid="{00000000-0002-0000-0300-000007000000}">
      <formula1>"0,1,2,3,4,5"</formula1>
    </dataValidation>
  </dataValidations>
  <printOptions horizontalCentered="1"/>
  <pageMargins left="0.23622047244094499" right="0.23622047244094499" top="0.74803149606299202" bottom="0.74803149606299202" header="0.31496062992126" footer="0.31496062992126"/>
  <pageSetup paperSize="9" scale="65"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27"/>
  <sheetViews>
    <sheetView topLeftCell="A19" zoomScale="85" zoomScaleNormal="85" workbookViewId="0">
      <selection activeCell="A26" sqref="A21:A27"/>
    </sheetView>
  </sheetViews>
  <sheetFormatPr defaultColWidth="9" defaultRowHeight="15"/>
  <cols>
    <col min="1" max="1" width="39.42578125" customWidth="1"/>
    <col min="3" max="3" width="100.7109375" customWidth="1"/>
    <col min="8" max="15" width="5.28515625" customWidth="1"/>
  </cols>
  <sheetData>
    <row r="1" spans="1:15" ht="315">
      <c r="A1" s="1">
        <v>1</v>
      </c>
      <c r="B1" s="2" t="s">
        <v>273</v>
      </c>
      <c r="C1" s="3" t="s">
        <v>274</v>
      </c>
      <c r="E1" t="s">
        <v>275</v>
      </c>
      <c r="F1" t="s">
        <v>276</v>
      </c>
      <c r="H1" s="4" t="s">
        <v>0</v>
      </c>
      <c r="I1" s="4" t="s">
        <v>1</v>
      </c>
      <c r="J1" s="4" t="s">
        <v>2</v>
      </c>
      <c r="K1" s="4" t="s">
        <v>3</v>
      </c>
      <c r="L1" s="4" t="s">
        <v>4</v>
      </c>
      <c r="M1" s="4" t="s">
        <v>5</v>
      </c>
      <c r="N1" s="4" t="s">
        <v>6</v>
      </c>
      <c r="O1" s="4" t="s">
        <v>7</v>
      </c>
    </row>
    <row r="2" spans="1:15" ht="290.25">
      <c r="A2" s="1">
        <v>2</v>
      </c>
      <c r="B2" s="2" t="s">
        <v>277</v>
      </c>
      <c r="C2" s="3" t="s">
        <v>278</v>
      </c>
      <c r="E2" t="s">
        <v>0</v>
      </c>
      <c r="F2" t="s">
        <v>279</v>
      </c>
      <c r="H2" s="5" t="s">
        <v>9</v>
      </c>
      <c r="I2" s="5" t="s">
        <v>10</v>
      </c>
      <c r="J2" s="5" t="s">
        <v>11</v>
      </c>
      <c r="K2" s="5" t="s">
        <v>12</v>
      </c>
      <c r="L2" s="5" t="s">
        <v>13</v>
      </c>
      <c r="M2" s="5" t="s">
        <v>14</v>
      </c>
      <c r="N2" s="5" t="s">
        <v>15</v>
      </c>
      <c r="O2" s="5" t="s">
        <v>7</v>
      </c>
    </row>
    <row r="3" spans="1:15" ht="297">
      <c r="A3" s="1">
        <v>3</v>
      </c>
      <c r="B3" s="2" t="s">
        <v>280</v>
      </c>
      <c r="C3" s="3" t="s">
        <v>281</v>
      </c>
      <c r="E3" t="s">
        <v>1</v>
      </c>
      <c r="F3" t="s">
        <v>282</v>
      </c>
      <c r="H3" s="5" t="s">
        <v>18</v>
      </c>
      <c r="I3" s="5" t="s">
        <v>19</v>
      </c>
      <c r="J3" s="5" t="s">
        <v>20</v>
      </c>
      <c r="K3" s="5" t="s">
        <v>21</v>
      </c>
      <c r="L3" s="5" t="s">
        <v>22</v>
      </c>
      <c r="M3" s="5" t="s">
        <v>23</v>
      </c>
      <c r="N3" s="5" t="s">
        <v>24</v>
      </c>
      <c r="O3" s="4"/>
    </row>
    <row r="4" spans="1:15" ht="289.5">
      <c r="A4" s="1">
        <v>4</v>
      </c>
      <c r="B4" s="2" t="s">
        <v>283</v>
      </c>
      <c r="C4" s="3" t="s">
        <v>284</v>
      </c>
      <c r="E4" t="s">
        <v>2</v>
      </c>
      <c r="F4" t="s">
        <v>285</v>
      </c>
      <c r="H4" s="5" t="s">
        <v>27</v>
      </c>
      <c r="I4" s="5" t="s">
        <v>28</v>
      </c>
      <c r="J4" s="5" t="s">
        <v>29</v>
      </c>
      <c r="K4" s="5" t="s">
        <v>30</v>
      </c>
      <c r="L4" s="5" t="s">
        <v>31</v>
      </c>
      <c r="M4" s="5" t="s">
        <v>32</v>
      </c>
      <c r="N4" s="4"/>
      <c r="O4" s="4"/>
    </row>
    <row r="5" spans="1:15" ht="195">
      <c r="A5" s="1">
        <v>5</v>
      </c>
      <c r="B5" s="2" t="s">
        <v>286</v>
      </c>
      <c r="C5" s="3" t="s">
        <v>287</v>
      </c>
      <c r="E5" t="s">
        <v>3</v>
      </c>
      <c r="F5" t="s">
        <v>288</v>
      </c>
      <c r="H5" s="4"/>
      <c r="I5" s="5" t="s">
        <v>34</v>
      </c>
      <c r="J5" s="4"/>
      <c r="K5" s="5" t="s">
        <v>35</v>
      </c>
      <c r="L5" s="5" t="s">
        <v>36</v>
      </c>
      <c r="M5" s="4"/>
      <c r="N5" s="4"/>
      <c r="O5" s="4"/>
    </row>
    <row r="6" spans="1:15" ht="255">
      <c r="A6" s="1">
        <v>6</v>
      </c>
      <c r="B6" s="2" t="s">
        <v>289</v>
      </c>
      <c r="C6" s="3" t="s">
        <v>290</v>
      </c>
      <c r="E6" t="s">
        <v>4</v>
      </c>
      <c r="F6" t="s">
        <v>291</v>
      </c>
      <c r="H6" s="4"/>
      <c r="I6" s="5" t="s">
        <v>38</v>
      </c>
      <c r="J6" s="4"/>
      <c r="K6" s="4"/>
      <c r="L6" s="4"/>
      <c r="M6" s="4"/>
      <c r="N6" s="4"/>
      <c r="O6" s="4"/>
    </row>
    <row r="7" spans="1:15" ht="345">
      <c r="A7" s="1">
        <v>7</v>
      </c>
      <c r="B7" s="2" t="s">
        <v>292</v>
      </c>
      <c r="C7" s="3" t="s">
        <v>293</v>
      </c>
      <c r="E7" t="s">
        <v>5</v>
      </c>
      <c r="F7" t="s">
        <v>294</v>
      </c>
    </row>
    <row r="8" spans="1:15" ht="240">
      <c r="A8" s="1">
        <v>8</v>
      </c>
      <c r="B8" s="2" t="s">
        <v>295</v>
      </c>
      <c r="C8" s="3" t="s">
        <v>296</v>
      </c>
      <c r="E8" t="s">
        <v>6</v>
      </c>
      <c r="F8" t="s">
        <v>297</v>
      </c>
    </row>
    <row r="9" spans="1:15" ht="165">
      <c r="A9" s="1">
        <v>9</v>
      </c>
      <c r="B9" s="2" t="s">
        <v>298</v>
      </c>
      <c r="C9" s="3" t="s">
        <v>299</v>
      </c>
      <c r="E9" t="s">
        <v>7</v>
      </c>
      <c r="F9" t="s">
        <v>300</v>
      </c>
    </row>
    <row r="10" spans="1:15" ht="240">
      <c r="A10" s="1">
        <v>10</v>
      </c>
      <c r="B10" s="2" t="s">
        <v>301</v>
      </c>
      <c r="C10" s="3" t="s">
        <v>302</v>
      </c>
    </row>
    <row r="11" spans="1:15" ht="105">
      <c r="A11" s="1">
        <v>11</v>
      </c>
      <c r="B11" s="2" t="s">
        <v>303</v>
      </c>
      <c r="C11" s="3" t="s">
        <v>304</v>
      </c>
    </row>
    <row r="12" spans="1:15" ht="270">
      <c r="A12" s="1">
        <v>12</v>
      </c>
      <c r="B12" s="6" t="s">
        <v>268</v>
      </c>
      <c r="C12" s="3" t="s">
        <v>305</v>
      </c>
    </row>
    <row r="13" spans="1:15" ht="240">
      <c r="A13" s="1">
        <v>13</v>
      </c>
      <c r="B13" s="6" t="s">
        <v>269</v>
      </c>
      <c r="C13" s="3" t="s">
        <v>306</v>
      </c>
    </row>
    <row r="14" spans="1:15" ht="225">
      <c r="A14" s="1">
        <v>14</v>
      </c>
      <c r="B14" s="6" t="s">
        <v>270</v>
      </c>
      <c r="C14" s="3" t="s">
        <v>307</v>
      </c>
    </row>
    <row r="15" spans="1:15" ht="150">
      <c r="A15" s="1">
        <v>15</v>
      </c>
      <c r="B15" s="6" t="s">
        <v>236</v>
      </c>
      <c r="C15" s="3" t="s">
        <v>308</v>
      </c>
    </row>
    <row r="16" spans="1:15" ht="225">
      <c r="A16" s="1">
        <v>16</v>
      </c>
      <c r="B16" s="6" t="s">
        <v>271</v>
      </c>
      <c r="C16" s="3" t="s">
        <v>309</v>
      </c>
    </row>
    <row r="17" spans="1:3" ht="345">
      <c r="A17" s="1">
        <v>17</v>
      </c>
      <c r="B17" s="6" t="s">
        <v>272</v>
      </c>
      <c r="C17" s="3" t="s">
        <v>310</v>
      </c>
    </row>
    <row r="21" spans="1:3">
      <c r="A21" s="7" t="s">
        <v>182</v>
      </c>
    </row>
    <row r="22" spans="1:3">
      <c r="A22" s="7" t="s">
        <v>311</v>
      </c>
    </row>
    <row r="23" spans="1:3">
      <c r="A23" s="7" t="s">
        <v>312</v>
      </c>
    </row>
    <row r="24" spans="1:3">
      <c r="A24" s="7" t="s">
        <v>313</v>
      </c>
    </row>
    <row r="25" spans="1:3">
      <c r="A25" s="7" t="s">
        <v>314</v>
      </c>
    </row>
    <row r="26" spans="1:3">
      <c r="A26" s="8" t="s">
        <v>315</v>
      </c>
    </row>
    <row r="27" spans="1:3">
      <c r="A27" s="7" t="s">
        <v>316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4" master="" otherUserPermission="visible"/>
  <rangeList sheetStid="6" master="" otherUserPermission="visible"/>
  <rangeList sheetStid="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Basic_Information</vt:lpstr>
      <vt:lpstr>PART -A (TL)</vt:lpstr>
      <vt:lpstr>PART -B (Research)</vt:lpstr>
      <vt:lpstr>PART-C(Governance)</vt:lpstr>
      <vt:lpstr>Sheet2</vt:lpstr>
      <vt:lpstr>Basic_Information!Print_Area</vt:lpstr>
      <vt:lpstr>'PART -A (TL)'!Print_Area</vt:lpstr>
      <vt:lpstr>'PART -B (Research)'!Print_Area</vt:lpstr>
      <vt:lpstr>'PART-C(Governance)'!Print_Area</vt:lpstr>
      <vt:lpstr>Basic_Information!Print_Titles</vt:lpstr>
      <vt:lpstr>'PART -A (TL)'!Print_Titles</vt:lpstr>
      <vt:lpstr>'PART -B (Research)'!Print_Titles</vt:lpstr>
      <vt:lpstr>'PART-C(Governance)'!Print_Titles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Mr. K. Kiran Kumar</cp:lastModifiedBy>
  <cp:lastPrinted>2026-01-06T05:26:00Z</cp:lastPrinted>
  <dcterms:created xsi:type="dcterms:W3CDTF">2023-01-30T09:35:00Z</dcterms:created>
  <dcterms:modified xsi:type="dcterms:W3CDTF">2026-09-17T05:02:49Z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B21BD9563647432D9EFF0552EB10BE9E_12</vt:lpwstr>
  </property>
  <property fmtid="{D5CDD505-2E9C-101B-9397-08002B2CF9AE}" pid="3" name="KSOProductBuildVer">
    <vt:lpwstr>1033-12.1.0.25830</vt:lpwstr>
  </property>
  <property fmtid="{D5CDD505-2E9C-101B-9397-08002B2CF9AE}" pid="4" name="CalculationRule">
    <vt:i4>0</vt:i4>
  </property>
</Properties>
</file>